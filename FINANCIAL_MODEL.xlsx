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sts" sheetId="3" state="visible" r:id="rId3"/>
    <sheet name="Projections" sheetId="4" state="visible" r:id="rId4"/>
    <sheet name="P&amp;L (Accounting)" sheetId="5" state="visible" r:id="rId5"/>
    <sheet name="Raise &amp; Runwa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1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3" borderId="1" pivotButton="0" quotePrefix="0" xfId="0"/>
    <xf numFmtId="4" fontId="0" fillId="0" borderId="0" pivotButton="0" quotePrefix="0" xfId="0"/>
    <xf numFmtId="4" fontId="0" fillId="4" borderId="0" pivotButton="0" quotePrefix="0" xfId="0"/>
    <xf numFmtId="164" fontId="0" fillId="4" borderId="0" pivotButton="0" quotePrefix="0" xfId="0"/>
    <xf numFmtId="3" fontId="0" fillId="4" borderId="0" pivotButton="0" quotePrefix="0" xfId="0"/>
    <xf numFmtId="0" fontId="3" fillId="0" borderId="0" pivotButton="0" quotePrefix="0" xfId="0"/>
    <xf numFmtId="4" fontId="3" fillId="5" borderId="0" pivotButton="0" quotePrefix="0" xfId="0"/>
    <xf numFmtId="3" fontId="3" fillId="0" borderId="0" pivotButton="0" quotePrefix="0" xfId="0"/>
    <xf numFmtId="3" fontId="0" fillId="0" borderId="0" pivotButton="0" quotePrefix="0" xfId="0"/>
    <xf numFmtId="3" fontId="3" fillId="5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0" fillId="0" borderId="0" pivotButton="0" quotePrefix="0" xfId="0"/>
    <xf numFmtId="3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narve.ai — Financial Model</t>
        </is>
      </c>
    </row>
    <row r="2">
      <c r="A2" t="inlineStr">
        <is>
          <t>Built July 2, 2026. All prices researched against official/current sources (see Assumptions tab for URLs).</t>
        </is>
      </c>
    </row>
    <row r="3">
      <c r="A3" t="inlineStr"/>
    </row>
    <row r="4">
      <c r="A4" s="2" t="inlineStr">
        <is>
          <t>TABS</t>
        </is>
      </c>
    </row>
    <row r="5">
      <c r="A5" t="inlineStr">
        <is>
          <t>Assumptions — every researched price with source. Edit the yellow cells; Costs/P&amp;L/Raise recalculate.</t>
        </is>
      </c>
    </row>
    <row r="6">
      <c r="A6" t="inlineStr">
        <is>
          <t>Costs — monthly operating costs in 3 scenarios: Bootstrap (today), Funded pre-seed, Full fleet revival.</t>
        </is>
      </c>
    </row>
    <row r="7">
      <c r="A7" t="inlineStr">
        <is>
          <t>Projections — 24-month subscriber &amp; MRR model, 3 growth cases, driven by editable growth/churn/ARPU cells.</t>
        </is>
      </c>
    </row>
    <row r="8">
      <c r="A8" t="inlineStr">
        <is>
          <t>P&amp;L (Accounting) — monthly profit &amp; loss for the Funded plan: revenue, Stripe fees, COGS, opex, EBITDA, cash.</t>
        </is>
      </c>
    </row>
    <row r="9">
      <c r="A9" t="inlineStr">
        <is>
          <t>Raise &amp; Runway — how much to raise: peak cumulative cash need + buffer, with a 12/18/24-month sensitivity table.</t>
        </is>
      </c>
    </row>
    <row r="10">
      <c r="A10" t="inlineStr"/>
    </row>
    <row r="11">
      <c r="A11" s="2" t="inlineStr">
        <is>
          <t>HEADLINES (Funded pre-seed plan, Base growth case)</t>
        </is>
      </c>
    </row>
    <row r="12">
      <c r="A12" t="inlineStr">
        <is>
          <t>Monthly burn before revenue: ≈ $10,100/mo. One-time setup (incorporation + legal + regulatory memo): ≈ $20,500.</t>
        </is>
      </c>
    </row>
    <row r="13">
      <c r="A13" t="inlineStr">
        <is>
          <t>Recommended raise: see Raise &amp; Runway tab — peak cash need over 24 months plus a 25% buffer.</t>
        </is>
      </c>
    </row>
    <row r="14">
      <c r="A14" t="inlineStr"/>
    </row>
    <row r="15">
      <c r="A15" s="2" t="inlineStr">
        <is>
          <t>KEY CAVEATS</t>
        </is>
      </c>
    </row>
    <row r="16">
      <c r="A16" t="inlineStr">
        <is>
          <t>• Revenue prices come from gateway/config.json (weather $7.99, Market Edge $9.99, midterm $14.99 monthly).</t>
        </is>
      </c>
    </row>
    <row r="17">
      <c r="A17" t="inlineStr">
        <is>
          <t>• Signup is currently invite-token gated; projections assume open self-serve signup from month 1.</t>
        </is>
      </c>
    </row>
    <row r="18">
      <c r="A18" t="inlineStr">
        <is>
          <t>• Stripe total take = 2.9% + $0.30 per charge + 0.7% Billing fee (≈6% of a $9.99 sub).</t>
        </is>
      </c>
    </row>
    <row r="19">
      <c r="A19" t="inlineStr">
        <is>
          <t>• Selling the weather product commercially requires an Open-Meteo commercial API license (€29/mo) — the free tier is non-commercial only.</t>
        </is>
      </c>
    </row>
    <row r="20">
      <c r="A20" t="inlineStr">
        <is>
          <t>• X API pay-per-use ($0.005/read) applies only if the parked Truth Research dashboard is revived (legacy tiers closed to new devs since Feb 2026).</t>
        </is>
      </c>
    </row>
    <row r="21">
      <c r="A21" t="inlineStr">
        <is>
          <t>• The IA/CTA regulatory legal memo line is strongly recommended before selling trading signals ($5k–$25k range; $15k midpoint used).</t>
        </is>
      </c>
    </row>
    <row r="22">
      <c r="A22" t="inlineStr">
        <is>
          <t>• Sonnet 5 API pricing is introductory ($2/$10 per MTok) until 2026-08-31, then $3/$15.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44" customWidth="1" min="1" max="1"/>
    <col width="30" customWidth="1" min="2" max="2"/>
    <col width="12" customWidth="1" min="3" max="3"/>
    <col width="26" customWidth="1" min="4" max="4"/>
    <col width="60" customWidth="1" min="5" max="5"/>
  </cols>
  <sheetData>
    <row r="1">
      <c r="A1" s="1" t="inlineStr">
        <is>
          <t>Assumptions — researched prices (as of 2026-07-02)</t>
        </is>
      </c>
    </row>
    <row r="3">
      <c r="A3" s="3" t="inlineStr">
        <is>
          <t>AWS (us-east-1)</t>
        </is>
      </c>
      <c r="B3" s="4" t="n"/>
      <c r="C3" s="4" t="n"/>
      <c r="D3" s="4" t="n"/>
      <c r="E3" s="4" t="n"/>
    </row>
    <row r="4">
      <c r="A4" s="5" t="inlineStr">
        <is>
          <t>Item</t>
        </is>
      </c>
      <c r="B4" s="5" t="inlineStr">
        <is>
          <t>Tier / plan</t>
        </is>
      </c>
      <c r="C4" s="5" t="inlineStr">
        <is>
          <t>Price $</t>
        </is>
      </c>
      <c r="D4" s="5" t="inlineStr">
        <is>
          <t>Unit</t>
        </is>
      </c>
      <c r="E4" s="5" t="inlineStr">
        <is>
          <t>Source</t>
        </is>
      </c>
    </row>
    <row r="5">
      <c r="A5" t="inlineStr">
        <is>
          <t>EC2 t3.large (2 vCPU / 8 GiB)</t>
        </is>
      </c>
      <c r="B5" t="inlineStr">
        <is>
          <t>On-demand</t>
        </is>
      </c>
      <c r="C5" s="6" t="n">
        <v>60.74</v>
      </c>
      <c r="D5" t="inlineStr">
        <is>
          <t>per month (730h)</t>
        </is>
      </c>
      <c r="E5" t="inlineStr">
        <is>
          <t>aws.amazon.com/ec2/pricing/on-demand/</t>
        </is>
      </c>
    </row>
    <row r="6">
      <c r="A6" t="inlineStr">
        <is>
          <t>EC2 t3.xlarge (4 vCPU / 16 GiB)</t>
        </is>
      </c>
      <c r="B6" t="inlineStr">
        <is>
          <t>On-demand</t>
        </is>
      </c>
      <c r="C6" s="6" t="n">
        <v>121.47</v>
      </c>
      <c r="D6" t="inlineStr">
        <is>
          <t>per month (730h)</t>
        </is>
      </c>
      <c r="E6" t="inlineStr">
        <is>
          <t>aws.amazon.com/ec2/pricing/on-demand/</t>
        </is>
      </c>
    </row>
    <row r="7">
      <c r="A7" t="inlineStr">
        <is>
          <t>EC2 t3.xlarge (4 vCPU / 16 GiB)</t>
        </is>
      </c>
      <c r="B7" t="inlineStr">
        <is>
          <t>1-yr no-upfront reserved</t>
        </is>
      </c>
      <c r="C7" s="6" t="n">
        <v>76.14</v>
      </c>
      <c r="D7" t="inlineStr">
        <is>
          <t>per month (730h)</t>
        </is>
      </c>
      <c r="E7" t="inlineStr">
        <is>
          <t>aws.amazon.com/ec2/pricing/reserved-instances/</t>
        </is>
      </c>
    </row>
    <row r="8">
      <c r="A8" t="inlineStr">
        <is>
          <t>EC2 m7i-flex.xlarge (4 vCPU / 16 GiB)</t>
        </is>
      </c>
      <c r="B8" t="inlineStr">
        <is>
          <t>1-yr no-upfront reserved</t>
        </is>
      </c>
      <c r="C8" s="6" t="n">
        <v>92.48</v>
      </c>
      <c r="D8" t="inlineStr">
        <is>
          <t>per month (730h)</t>
        </is>
      </c>
      <c r="E8" t="inlineStr">
        <is>
          <t>aws.amazon.com/savingsplans/compute-pricing/</t>
        </is>
      </c>
    </row>
    <row r="9">
      <c r="A9" t="inlineStr">
        <is>
          <t>EBS gp3 storage</t>
        </is>
      </c>
      <c r="B9" t="inlineStr">
        <is>
          <t>standard</t>
        </is>
      </c>
      <c r="C9" s="6" t="n">
        <v>0.08</v>
      </c>
      <c r="D9" t="inlineStr">
        <is>
          <t>per GB-month (3k IOPS incl.)</t>
        </is>
      </c>
      <c r="E9" t="inlineStr">
        <is>
          <t>aws.amazon.com/ebs/pricing/</t>
        </is>
      </c>
    </row>
    <row r="10">
      <c r="A10" t="inlineStr">
        <is>
          <t>EBS snapshots</t>
        </is>
      </c>
      <c r="B10" t="inlineStr">
        <is>
          <t>standard</t>
        </is>
      </c>
      <c r="C10" s="6" t="n">
        <v>0.05</v>
      </c>
      <c r="D10" t="inlineStr">
        <is>
          <t>per GB-month (incremental)</t>
        </is>
      </c>
      <c r="E10" t="inlineStr">
        <is>
          <t>aws.amazon.com/ebs/pricing/</t>
        </is>
      </c>
    </row>
    <row r="11">
      <c r="A11" t="inlineStr">
        <is>
          <t>S3 Standard</t>
        </is>
      </c>
      <c r="B11" t="inlineStr">
        <is>
          <t>first 50 TB</t>
        </is>
      </c>
      <c r="C11" s="6" t="n">
        <v>0.023</v>
      </c>
      <c r="D11" t="inlineStr">
        <is>
          <t>per GB-month</t>
        </is>
      </c>
      <c r="E11" t="inlineStr">
        <is>
          <t>aws.amazon.com/s3/pricing/</t>
        </is>
      </c>
    </row>
    <row r="12">
      <c r="A12" t="inlineStr">
        <is>
          <t>Data transfer out</t>
        </is>
      </c>
      <c r="B12" t="inlineStr">
        <is>
          <t>after 100 GB free</t>
        </is>
      </c>
      <c r="C12" s="6" t="n">
        <v>0.09</v>
      </c>
      <c r="D12" t="inlineStr">
        <is>
          <t>per GB (first 10 TB)</t>
        </is>
      </c>
      <c r="E12" t="inlineStr">
        <is>
          <t>aws.amazon.com/ec2/pricing/on-demand/</t>
        </is>
      </c>
    </row>
    <row r="13">
      <c r="A13" t="inlineStr">
        <is>
          <t>ElastiCache cache.t4g.micro (Redis)</t>
        </is>
      </c>
      <c r="B13" t="inlineStr">
        <is>
          <t>on-demand</t>
        </is>
      </c>
      <c r="C13" s="6" t="n">
        <v>11.68</v>
      </c>
      <c r="D13" t="inlineStr">
        <is>
          <t>per month</t>
        </is>
      </c>
      <c r="E13" t="inlineStr">
        <is>
          <t>aws.amazon.com/elasticache/pricing/</t>
        </is>
      </c>
    </row>
    <row r="14">
      <c r="A14" t="inlineStr">
        <is>
          <t>ALB (optional — skipped, Cloudflare Tunnel used)</t>
        </is>
      </c>
      <c r="B14" t="inlineStr">
        <is>
          <t>hourly + 1 LCU</t>
        </is>
      </c>
      <c r="C14" s="6" t="n">
        <v>22.27</v>
      </c>
      <c r="D14" t="inlineStr">
        <is>
          <t>per month</t>
        </is>
      </c>
      <c r="E14" t="inlineStr">
        <is>
          <t>aws.amazon.com/elasticloadbalancing/pricing/</t>
        </is>
      </c>
    </row>
    <row r="16">
      <c r="A16" s="3" t="inlineStr">
        <is>
          <t>Data &amp; AI APIs</t>
        </is>
      </c>
      <c r="B16" s="4" t="n"/>
      <c r="C16" s="4" t="n"/>
      <c r="D16" s="4" t="n"/>
      <c r="E16" s="4" t="n"/>
    </row>
    <row r="17">
      <c r="A17" s="5" t="inlineStr">
        <is>
          <t>Item</t>
        </is>
      </c>
      <c r="B17" s="5" t="inlineStr">
        <is>
          <t>Tier / plan</t>
        </is>
      </c>
      <c r="C17" s="5" t="inlineStr">
        <is>
          <t>Price $</t>
        </is>
      </c>
      <c r="D17" s="5" t="inlineStr">
        <is>
          <t>Unit</t>
        </is>
      </c>
      <c r="E17" s="5" t="inlineStr">
        <is>
          <t>Source</t>
        </is>
      </c>
    </row>
    <row r="18">
      <c r="A18" t="inlineStr">
        <is>
          <t>The Odds API</t>
        </is>
      </c>
      <c r="B18" t="inlineStr">
        <is>
          <t>Free / 20K / 100K</t>
        </is>
      </c>
      <c r="C18" s="6" t="n">
        <v>30</v>
      </c>
      <c r="D18" t="inlineStr">
        <is>
          <t>per month (20K credits tier)</t>
        </is>
      </c>
      <c r="E18" t="inlineStr">
        <is>
          <t>the-odds-api.com</t>
        </is>
      </c>
    </row>
    <row r="19">
      <c r="A19" t="inlineStr">
        <is>
          <t>Open-Meteo commercial</t>
        </is>
      </c>
      <c r="B19" t="inlineStr">
        <is>
          <t>API Standard (1M calls/mo)</t>
        </is>
      </c>
      <c r="C19" s="6" t="n">
        <v>33</v>
      </c>
      <c r="D19" t="inlineStr">
        <is>
          <t>per month (EUR 29)</t>
        </is>
      </c>
      <c r="E19" t="inlineStr">
        <is>
          <t>open-meteo.com/en/pricing</t>
        </is>
      </c>
    </row>
    <row r="20">
      <c r="A20" t="inlineStr">
        <is>
          <t>Anthropic Claude — Haiku 4.5</t>
        </is>
      </c>
      <c r="B20" t="inlineStr">
        <is>
          <t>input / output</t>
        </is>
      </c>
      <c r="C20" s="6" t="n">
        <v>1</v>
      </c>
      <c r="D20" t="inlineStr">
        <is>
          <t>$1 / $5 per MTok (batch −50%)</t>
        </is>
      </c>
      <c r="E20" t="inlineStr">
        <is>
          <t>platform.claude.com/docs/en/about-claude/pricing</t>
        </is>
      </c>
    </row>
    <row r="21">
      <c r="A21" t="inlineStr">
        <is>
          <t>Anthropic Claude — Sonnet 5 (intro to 2026-08-31)</t>
        </is>
      </c>
      <c r="B21" t="inlineStr">
        <is>
          <t>input / output</t>
        </is>
      </c>
      <c r="C21" s="6" t="n">
        <v>2</v>
      </c>
      <c r="D21" t="inlineStr">
        <is>
          <t>$2 / $10 per MTok, then $3/$15</t>
        </is>
      </c>
      <c r="E21" t="inlineStr">
        <is>
          <t>platform.claude.com/docs/en/about-claude/pricing</t>
        </is>
      </c>
    </row>
    <row r="22">
      <c r="A22" t="inlineStr">
        <is>
          <t>X API v2 pay-per-use</t>
        </is>
      </c>
      <c r="B22" t="inlineStr">
        <is>
          <t>post reads</t>
        </is>
      </c>
      <c r="C22" s="6" t="n">
        <v>0.005</v>
      </c>
      <c r="D22" t="inlineStr">
        <is>
          <t>per post read (2M/mo cap)</t>
        </is>
      </c>
      <c r="E22" t="inlineStr">
        <is>
          <t>docs.x.com</t>
        </is>
      </c>
    </row>
    <row r="23">
      <c r="A23" t="inlineStr">
        <is>
          <t>Alpaca market data</t>
        </is>
      </c>
      <c r="B23" t="inlineStr">
        <is>
          <t>Algo Trader Plus (full SIP)</t>
        </is>
      </c>
      <c r="C23" s="6" t="n">
        <v>99</v>
      </c>
      <c r="D23" t="inlineStr">
        <is>
          <t>per month (free IEX tier exists)</t>
        </is>
      </c>
      <c r="E23" t="inlineStr">
        <is>
          <t>alpaca.markets/data</t>
        </is>
      </c>
    </row>
    <row r="24">
      <c r="A24" t="inlineStr">
        <is>
          <t>CoinGecko API</t>
        </is>
      </c>
      <c r="B24" t="inlineStr">
        <is>
          <t>Analyst</t>
        </is>
      </c>
      <c r="C24" s="6" t="n">
        <v>129</v>
      </c>
      <c r="D24" t="inlineStr">
        <is>
          <t>per month (free 10K demo tier exists)</t>
        </is>
      </c>
      <c r="E24" t="inlineStr">
        <is>
          <t>coingecko.com/en/api/pricing</t>
        </is>
      </c>
    </row>
    <row r="25">
      <c r="A25" t="inlineStr">
        <is>
          <t>Polymarket / Kalshi / Binance / yfinance / NWS / USGS / FRED / Census / BEA / BLS / FEC</t>
        </is>
      </c>
      <c r="B25" t="inlineStr">
        <is>
          <t>public</t>
        </is>
      </c>
      <c r="C25" s="6" t="n">
        <v>0</v>
      </c>
      <c r="D25" t="inlineStr">
        <is>
          <t>free (fair-use limits)</t>
        </is>
      </c>
      <c r="E25" t="inlineStr">
        <is>
          <t>various — verified free/keyless</t>
        </is>
      </c>
    </row>
    <row r="27">
      <c r="A27" s="3" t="inlineStr">
        <is>
          <t>SaaS &amp; payments</t>
        </is>
      </c>
      <c r="B27" s="4" t="n"/>
      <c r="C27" s="4" t="n"/>
      <c r="D27" s="4" t="n"/>
      <c r="E27" s="4" t="n"/>
    </row>
    <row r="28">
      <c r="A28" s="5" t="inlineStr">
        <is>
          <t>Item</t>
        </is>
      </c>
      <c r="B28" s="5" t="inlineStr">
        <is>
          <t>Tier / plan</t>
        </is>
      </c>
      <c r="C28" s="5" t="inlineStr">
        <is>
          <t>Price $</t>
        </is>
      </c>
      <c r="D28" s="5" t="inlineStr">
        <is>
          <t>Unit</t>
        </is>
      </c>
      <c r="E28" s="5" t="inlineStr">
        <is>
          <t>Source</t>
        </is>
      </c>
    </row>
    <row r="29">
      <c r="A29" t="inlineStr">
        <is>
          <t>Stripe card processing</t>
        </is>
      </c>
      <c r="B29" t="inlineStr">
        <is>
          <t>US standard</t>
        </is>
      </c>
      <c r="C29" s="6" t="n">
        <v>2.9</v>
      </c>
      <c r="D29" t="inlineStr">
        <is>
          <t>% + $0.30 per charge</t>
        </is>
      </c>
      <c r="E29" t="inlineStr">
        <is>
          <t>stripe.com/pricing</t>
        </is>
      </c>
    </row>
    <row r="30">
      <c r="A30" t="inlineStr">
        <is>
          <t>Stripe Billing (subscriptions)</t>
        </is>
      </c>
      <c r="B30" t="inlineStr">
        <is>
          <t>unified plan</t>
        </is>
      </c>
      <c r="C30" s="6" t="n">
        <v>0.7</v>
      </c>
      <c r="D30" t="inlineStr">
        <is>
          <t>% of billing volume</t>
        </is>
      </c>
      <c r="E30" t="inlineStr">
        <is>
          <t>stripe.com/billing/pricing</t>
        </is>
      </c>
    </row>
    <row r="31">
      <c r="A31" t="inlineStr">
        <is>
          <t>.ai domain (narve.ai)</t>
        </is>
      </c>
      <c r="B31" t="inlineStr">
        <is>
          <t>Porkbun renewal</t>
        </is>
      </c>
      <c r="C31" s="6" t="n">
        <v>82.7</v>
      </c>
      <c r="D31" t="inlineStr">
        <is>
          <t>per year</t>
        </is>
      </c>
      <c r="E31" t="inlineStr">
        <is>
          <t>porkbun.com</t>
        </is>
      </c>
    </row>
    <row r="32">
      <c r="A32" t="inlineStr">
        <is>
          <t>Cloudflare (DNS/CDN/Tunnel)</t>
        </is>
      </c>
      <c r="B32" t="inlineStr">
        <is>
          <t>Free</t>
        </is>
      </c>
      <c r="C32" s="6" t="n">
        <v>0</v>
      </c>
      <c r="D32" t="inlineStr">
        <is>
          <t>per month</t>
        </is>
      </c>
      <c r="E32" t="inlineStr">
        <is>
          <t>cloudflare.com/plans</t>
        </is>
      </c>
    </row>
    <row r="33">
      <c r="A33" t="inlineStr">
        <is>
          <t>Tailscale</t>
        </is>
      </c>
      <c r="B33" t="inlineStr">
        <is>
          <t>Personal (free, ≤6 users)</t>
        </is>
      </c>
      <c r="C33" s="6" t="n">
        <v>0</v>
      </c>
      <c r="D33" t="inlineStr">
        <is>
          <t>per month</t>
        </is>
      </c>
      <c r="E33" t="inlineStr">
        <is>
          <t>tailscale.com/pricing</t>
        </is>
      </c>
    </row>
    <row r="34">
      <c r="A34" t="inlineStr">
        <is>
          <t>Google Workspace</t>
        </is>
      </c>
      <c r="B34" t="inlineStr">
        <is>
          <t>Business Starter</t>
        </is>
      </c>
      <c r="C34" s="6" t="n">
        <v>7</v>
      </c>
      <c r="D34" t="inlineStr">
        <is>
          <t>per user / month (annual)</t>
        </is>
      </c>
      <c r="E34" t="inlineStr">
        <is>
          <t>workspace.google.com/pricing</t>
        </is>
      </c>
    </row>
    <row r="35">
      <c r="A35" t="inlineStr">
        <is>
          <t>GitHub</t>
        </is>
      </c>
      <c r="B35" t="inlineStr">
        <is>
          <t>Free (2,000 CI min/mo)</t>
        </is>
      </c>
      <c r="C35" s="6" t="n">
        <v>0</v>
      </c>
      <c r="D35" t="inlineStr">
        <is>
          <t>per month</t>
        </is>
      </c>
      <c r="E35" t="inlineStr">
        <is>
          <t>github.com/pricing</t>
        </is>
      </c>
    </row>
    <row r="36">
      <c r="A36" t="inlineStr">
        <is>
          <t>Sentry</t>
        </is>
      </c>
      <c r="B36" t="inlineStr">
        <is>
          <t>Developer free / Team $26</t>
        </is>
      </c>
      <c r="C36" s="6" t="n">
        <v>26</v>
      </c>
      <c r="D36" t="inlineStr">
        <is>
          <t>per month (Team, annual)</t>
        </is>
      </c>
      <c r="E36" t="inlineStr">
        <is>
          <t>sentry.io/pricing</t>
        </is>
      </c>
    </row>
    <row r="37">
      <c r="A37" t="inlineStr">
        <is>
          <t>Apple Developer Program (iOS app)</t>
        </is>
      </c>
      <c r="B37" t="inlineStr">
        <is>
          <t>individual</t>
        </is>
      </c>
      <c r="C37" s="6" t="n">
        <v>99</v>
      </c>
      <c r="D37" t="inlineStr">
        <is>
          <t>per year</t>
        </is>
      </c>
      <c r="E37" t="inlineStr">
        <is>
          <t>developer.apple.com/support/enrollment/</t>
        </is>
      </c>
    </row>
    <row r="38">
      <c r="A38" t="inlineStr">
        <is>
          <t>Amazon SES (transactional email)</t>
        </is>
      </c>
      <c r="B38" t="inlineStr">
        <is>
          <t>standard</t>
        </is>
      </c>
      <c r="C38" s="6" t="n">
        <v>0.1</v>
      </c>
      <c r="D38" t="inlineStr">
        <is>
          <t>per 1,000 emails</t>
        </is>
      </c>
      <c r="E38" t="inlineStr">
        <is>
          <t>aws.amazon.com/ses/pricing/</t>
        </is>
      </c>
    </row>
    <row r="40">
      <c r="A40" s="3" t="inlineStr">
        <is>
          <t>Company &amp; professional (US Delaware C-corp)</t>
        </is>
      </c>
      <c r="B40" s="4" t="n"/>
      <c r="C40" s="4" t="n"/>
      <c r="D40" s="4" t="n"/>
      <c r="E40" s="4" t="n"/>
    </row>
    <row r="41">
      <c r="A41" s="5" t="inlineStr">
        <is>
          <t>Item</t>
        </is>
      </c>
      <c r="B41" s="5" t="inlineStr">
        <is>
          <t>Tier / plan</t>
        </is>
      </c>
      <c r="C41" s="5" t="inlineStr">
        <is>
          <t>Price $</t>
        </is>
      </c>
      <c r="D41" s="5" t="inlineStr">
        <is>
          <t>Unit</t>
        </is>
      </c>
      <c r="E41" s="5" t="inlineStr">
        <is>
          <t>Source</t>
        </is>
      </c>
    </row>
    <row r="42">
      <c r="A42" t="inlineStr">
        <is>
          <t>Incorporation (Stripe Atlas)</t>
        </is>
      </c>
      <c r="B42" t="inlineStr">
        <is>
          <t>one-time</t>
        </is>
      </c>
      <c r="C42" s="6" t="n">
        <v>500</v>
      </c>
      <c r="D42" t="inlineStr">
        <is>
          <t>one-time (incl. 1st-yr agent)</t>
        </is>
      </c>
      <c r="E42" t="inlineStr">
        <is>
          <t>stripe.com/atlas</t>
        </is>
      </c>
    </row>
    <row r="43">
      <c r="A43" t="inlineStr">
        <is>
          <t>Registered agent</t>
        </is>
      </c>
      <c r="B43" t="inlineStr">
        <is>
          <t>annual, from yr 2</t>
        </is>
      </c>
      <c r="C43" s="6" t="n">
        <v>100</v>
      </c>
      <c r="D43" t="inlineStr">
        <is>
          <t>per year</t>
        </is>
      </c>
      <c r="E43" t="inlineStr">
        <is>
          <t>support.stripe.com (Atlas renewal)</t>
        </is>
      </c>
    </row>
    <row r="44">
      <c r="A44" t="inlineStr">
        <is>
          <t>Delaware franchise tax + report</t>
        </is>
      </c>
      <c r="B44" t="inlineStr">
        <is>
          <t>assumed-par-value minimum</t>
        </is>
      </c>
      <c r="C44" s="6" t="n">
        <v>450</v>
      </c>
      <c r="D44" t="inlineStr">
        <is>
          <t>per year</t>
        </is>
      </c>
      <c r="E44" t="inlineStr">
        <is>
          <t>corp.delaware.gov/frtaxcalc/</t>
        </is>
      </c>
    </row>
    <row r="45">
      <c r="A45" t="inlineStr">
        <is>
          <t>Bookkeeping (Pilot Essentials)</t>
        </is>
      </c>
      <c r="B45" t="inlineStr">
        <is>
          <t>monthly</t>
        </is>
      </c>
      <c r="C45" s="6" t="n">
        <v>99</v>
      </c>
      <c r="D45" t="inlineStr">
        <is>
          <t>per month</t>
        </is>
      </c>
      <c r="E45" t="inlineStr">
        <is>
          <t>pilot.com/pricing</t>
        </is>
      </c>
    </row>
    <row r="46">
      <c r="A46" t="inlineStr">
        <is>
          <t>Corporate tax filing (Fondo TaxPass)</t>
        </is>
      </c>
      <c r="B46" t="inlineStr">
        <is>
          <t>annual</t>
        </is>
      </c>
      <c r="C46" s="6" t="n">
        <v>950</v>
      </c>
      <c r="D46" t="inlineStr">
        <is>
          <t>per year</t>
        </is>
      </c>
      <c r="E46" t="inlineStr">
        <is>
          <t>fondo.com/pricing</t>
        </is>
      </c>
    </row>
    <row r="47">
      <c r="A47" t="inlineStr">
        <is>
          <t>Business insurance (GL + E&amp;O + cyber)</t>
        </is>
      </c>
      <c r="B47" t="inlineStr">
        <is>
          <t>small SaaS average</t>
        </is>
      </c>
      <c r="C47" s="6" t="n">
        <v>281</v>
      </c>
      <c r="D47" t="inlineStr">
        <is>
          <t>per month</t>
        </is>
      </c>
      <c r="E47" t="inlineStr">
        <is>
          <t>insureon.com / techinsurance.com</t>
        </is>
      </c>
    </row>
    <row r="48">
      <c r="A48" t="inlineStr">
        <is>
          <t>Pre-seed SAFE legal review</t>
        </is>
      </c>
      <c r="B48" t="inlineStr">
        <is>
          <t>one-time (YC SAFE docs free)</t>
        </is>
      </c>
      <c r="C48" s="6" t="n">
        <v>5000</v>
      </c>
      <c r="D48" t="inlineStr">
        <is>
          <t>one-time</t>
        </is>
      </c>
      <c r="E48" t="inlineStr">
        <is>
          <t>siliconhillslawyer.com; pilot.com/insights</t>
        </is>
      </c>
    </row>
    <row r="49">
      <c r="A49" t="inlineStr">
        <is>
          <t>IA/CTA regulatory memo (signal-selling)</t>
        </is>
      </c>
      <c r="B49" t="inlineStr">
        <is>
          <t>one-time, midpoint of $5–25k</t>
        </is>
      </c>
      <c r="C49" s="6" t="n">
        <v>15000</v>
      </c>
      <c r="D49" t="inlineStr">
        <is>
          <t>one-time</t>
        </is>
      </c>
      <c r="E49" t="inlineStr">
        <is>
          <t>specialist counsel estimate — see notes</t>
        </is>
      </c>
    </row>
    <row r="50">
      <c r="A50" t="inlineStr">
        <is>
          <t>Founder salary (pre-seed median)</t>
        </is>
      </c>
      <c r="B50" t="inlineStr">
        <is>
          <t>Pilot 2025 survey</t>
        </is>
      </c>
      <c r="C50" s="6" t="n">
        <v>75000</v>
      </c>
      <c r="D50" t="inlineStr">
        <is>
          <t>per year</t>
        </is>
      </c>
      <c r="E50" t="inlineStr">
        <is>
          <t>pilot.com/report/founder-salary-2025</t>
        </is>
      </c>
    </row>
    <row r="51">
      <c r="A51" t="inlineStr">
        <is>
          <t>Payroll taxes/fees</t>
        </is>
      </c>
      <c r="B51" t="inlineStr">
        <is>
          <t>employer side</t>
        </is>
      </c>
      <c r="C51" s="6" t="n">
        <v>10</v>
      </c>
      <c r="D51" t="inlineStr">
        <is>
          <t>% of salary</t>
        </is>
      </c>
      <c r="E51" t="inlineStr">
        <is>
          <t>estimate</t>
        </is>
      </c>
    </row>
    <row r="52">
      <c r="A52" t="inlineStr">
        <is>
          <t>Part-time contractor</t>
        </is>
      </c>
      <c r="B52" t="inlineStr">
        <is>
          <t>planning figure</t>
        </is>
      </c>
      <c r="C52" s="6" t="n">
        <v>1500</v>
      </c>
      <c r="D52" t="inlineStr">
        <is>
          <t>per month</t>
        </is>
      </c>
      <c r="E52" t="inlineStr">
        <is>
          <t>estimate</t>
        </is>
      </c>
    </row>
    <row r="53">
      <c r="A53" t="inlineStr">
        <is>
          <t>Marketing budget</t>
        </is>
      </c>
      <c r="B53" t="inlineStr">
        <is>
          <t>planning figure</t>
        </is>
      </c>
      <c r="C53" s="6" t="n">
        <v>1000</v>
      </c>
      <c r="D53" t="inlineStr">
        <is>
          <t>per month</t>
        </is>
      </c>
      <c r="E53" t="inlineStr">
        <is>
          <t>estimate</t>
        </is>
      </c>
    </row>
    <row r="55">
      <c r="A55" s="3" t="inlineStr">
        <is>
          <t>MODEL DRIVERS (edit these — yellow)</t>
        </is>
      </c>
      <c r="B55" s="4" t="n"/>
      <c r="C55" s="4" t="n"/>
      <c r="D55" s="4" t="n"/>
      <c r="E55" s="4" t="n"/>
    </row>
    <row r="56">
      <c r="A56" s="5" t="inlineStr">
        <is>
          <t>Driver</t>
        </is>
      </c>
      <c r="B56" s="5" t="inlineStr">
        <is>
          <t>Value</t>
        </is>
      </c>
      <c r="C56" s="5" t="inlineStr"/>
      <c r="D56" s="5" t="inlineStr">
        <is>
          <t>Unit</t>
        </is>
      </c>
      <c r="E56" s="5" t="inlineStr">
        <is>
          <t>Note</t>
        </is>
      </c>
    </row>
    <row r="57">
      <c r="A57" t="inlineStr">
        <is>
          <t>Blended ARPU</t>
        </is>
      </c>
      <c r="B57" s="7" t="n">
        <v>11.24</v>
      </c>
      <c r="D57" t="inlineStr">
        <is>
          <t>$/subscriber/month</t>
        </is>
      </c>
      <c r="E57" t="inlineStr">
        <is>
          <t>40% Market Edge $9.99 + 35% Midterm $14.99 + 25% Weather $7.99 (config.json prices)</t>
        </is>
      </c>
    </row>
    <row r="58">
      <c r="A58" t="inlineStr">
        <is>
          <t>Stripe % take</t>
        </is>
      </c>
      <c r="B58" s="8" t="n">
        <v>0.036</v>
      </c>
      <c r="D58" t="inlineStr">
        <is>
          <t>% of revenue</t>
        </is>
      </c>
      <c r="E58" t="inlineStr">
        <is>
          <t>2.9% processing + 0.7% Billing</t>
        </is>
      </c>
    </row>
    <row r="59">
      <c r="A59" t="inlineStr">
        <is>
          <t>Stripe fixed per charge</t>
        </is>
      </c>
      <c r="B59" s="7" t="n">
        <v>0.3</v>
      </c>
      <c r="D59" t="inlineStr">
        <is>
          <t>$/charge/month</t>
        </is>
      </c>
      <c r="E59" t="inlineStr">
        <is>
          <t>per successful card charge</t>
        </is>
      </c>
    </row>
    <row r="60">
      <c r="A60" t="inlineStr">
        <is>
          <t>Churn — base</t>
        </is>
      </c>
      <c r="B60" s="8" t="n">
        <v>0.06</v>
      </c>
      <c r="D60" t="inlineStr">
        <is>
          <t>%/month</t>
        </is>
      </c>
      <c r="E60" t="inlineStr">
        <is>
          <t>prosumer trading-signal SaaS typical 5–8%</t>
        </is>
      </c>
    </row>
    <row r="61">
      <c r="A61" t="inlineStr">
        <is>
          <t>Churn — optimistic</t>
        </is>
      </c>
      <c r="B61" s="8" t="n">
        <v>0.05</v>
      </c>
      <c r="D61" t="inlineStr">
        <is>
          <t>%/month</t>
        </is>
      </c>
      <c r="E61" t="inlineStr"/>
    </row>
    <row r="62">
      <c r="A62" t="inlineStr">
        <is>
          <t>New subs month 1 — conservative</t>
        </is>
      </c>
      <c r="B62" s="9" t="n">
        <v>10</v>
      </c>
      <c r="D62" t="inlineStr">
        <is>
          <t>subs</t>
        </is>
      </c>
      <c r="E62" t="inlineStr">
        <is>
          <t>flat adds, no growth</t>
        </is>
      </c>
    </row>
    <row r="63">
      <c r="A63" t="inlineStr">
        <is>
          <t>New subs month 1 — base</t>
        </is>
      </c>
      <c r="B63" s="9" t="n">
        <v>15</v>
      </c>
      <c r="D63" t="inlineStr">
        <is>
          <t>subs</t>
        </is>
      </c>
      <c r="E63" t="inlineStr">
        <is>
          <t>grows 15%/mo, capped 150/mo</t>
        </is>
      </c>
    </row>
    <row r="64">
      <c r="A64" t="inlineStr">
        <is>
          <t>New subs growth — base</t>
        </is>
      </c>
      <c r="B64" s="8" t="n">
        <v>0.15</v>
      </c>
      <c r="D64" t="inlineStr">
        <is>
          <t>%/month</t>
        </is>
      </c>
      <c r="E64" t="inlineStr"/>
    </row>
    <row r="65">
      <c r="A65" t="inlineStr">
        <is>
          <t>New subs cap — base</t>
        </is>
      </c>
      <c r="B65" s="9" t="n">
        <v>150</v>
      </c>
      <c r="D65" t="inlineStr">
        <is>
          <t>subs/month</t>
        </is>
      </c>
      <c r="E65" t="inlineStr"/>
    </row>
    <row r="66">
      <c r="A66" t="inlineStr">
        <is>
          <t>New subs month 1 — optimistic</t>
        </is>
      </c>
      <c r="B66" s="9" t="n">
        <v>30</v>
      </c>
      <c r="D66" t="inlineStr">
        <is>
          <t>subs</t>
        </is>
      </c>
      <c r="E66" t="inlineStr">
        <is>
          <t>grows 20%/mo, capped 400/mo</t>
        </is>
      </c>
    </row>
    <row r="67">
      <c r="A67" t="inlineStr">
        <is>
          <t>New subs growth — optimistic</t>
        </is>
      </c>
      <c r="B67" s="8" t="n">
        <v>0.2</v>
      </c>
      <c r="D67" t="inlineStr">
        <is>
          <t>%/month</t>
        </is>
      </c>
      <c r="E67" t="inlineStr"/>
    </row>
    <row r="68">
      <c r="A68" t="inlineStr">
        <is>
          <t>New subs cap — optimistic</t>
        </is>
      </c>
      <c r="B68" s="9" t="n">
        <v>400</v>
      </c>
      <c r="D68" t="inlineStr">
        <is>
          <t>subs/month</t>
        </is>
      </c>
      <c r="E68" t="inlineStr"/>
    </row>
    <row r="69">
      <c r="A69" t="inlineStr">
        <is>
          <t>Raise buffer</t>
        </is>
      </c>
      <c r="B69" s="8" t="n">
        <v>0.25</v>
      </c>
      <c r="D69" t="inlineStr">
        <is>
          <t>% on top of peak need</t>
        </is>
      </c>
      <c r="E69" t="inlineStr">
        <is>
          <t>cushion for overruns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64" customWidth="1" min="5" max="5"/>
  </cols>
  <sheetData>
    <row r="1">
      <c r="A1" s="1" t="inlineStr">
        <is>
          <t>Monthly operating costs — three scenarios (USD)</t>
        </is>
      </c>
    </row>
    <row r="2">
      <c r="A2" t="inlineStr">
        <is>
          <t>Bootstrap = today's trimmed 3-product fleet, no salary. Funded = pre-seed plan. Full fleet = all 12+ dashboards revived.</t>
        </is>
      </c>
    </row>
    <row r="4">
      <c r="A4" s="5" t="inlineStr">
        <is>
          <t>Line item</t>
        </is>
      </c>
      <c r="B4" s="5" t="inlineStr">
        <is>
          <t>Bootstrap</t>
        </is>
      </c>
      <c r="C4" s="5" t="inlineStr">
        <is>
          <t>Funded</t>
        </is>
      </c>
      <c r="D4" s="5" t="inlineStr">
        <is>
          <t>Full fleet</t>
        </is>
      </c>
      <c r="E4" s="5" t="inlineStr">
        <is>
          <t>Basis</t>
        </is>
      </c>
    </row>
    <row r="5">
      <c r="A5" s="3" t="inlineStr">
        <is>
          <t>Infrastructure (AWS, us-east-1)</t>
        </is>
      </c>
      <c r="B5" s="4" t="n"/>
      <c r="C5" s="4" t="n"/>
      <c r="D5" s="4" t="n"/>
      <c r="E5" s="4" t="n"/>
    </row>
    <row r="6">
      <c r="A6" t="inlineStr">
        <is>
          <t>EC2 instance</t>
        </is>
      </c>
      <c r="B6" s="6" t="n">
        <v>60.74</v>
      </c>
      <c r="C6" s="6" t="n">
        <v>76.14</v>
      </c>
      <c r="D6" s="6" t="n">
        <v>168.62</v>
      </c>
      <c r="E6" t="inlineStr">
        <is>
          <t>Boot: t3.large on-demand. Funded: t3.xlarge 1-yr reserved. Full: t3.xlarge RI + m7i-flex.xlarge RI second box</t>
        </is>
      </c>
    </row>
    <row r="7">
      <c r="A7" t="inlineStr">
        <is>
          <t>EBS gp3 volumes</t>
        </is>
      </c>
      <c r="B7" s="6" t="n">
        <v>4</v>
      </c>
      <c r="C7" s="6" t="n">
        <v>8</v>
      </c>
      <c r="D7" s="6" t="n">
        <v>16</v>
      </c>
      <c r="E7" t="inlineStr">
        <is>
          <t>50 / 100 / 200 GB @ $0.08</t>
        </is>
      </c>
    </row>
    <row r="8">
      <c r="A8" t="inlineStr">
        <is>
          <t>EBS snapshots (backups)</t>
        </is>
      </c>
      <c r="B8" s="6" t="n">
        <v>1.25</v>
      </c>
      <c r="C8" s="6" t="n">
        <v>2.5</v>
      </c>
      <c r="D8" s="6" t="n">
        <v>5</v>
      </c>
      <c r="E8" t="inlineStr">
        <is>
          <t>25 / 50 / 100 GB @ $0.05 (incremental)</t>
        </is>
      </c>
    </row>
    <row r="9">
      <c r="A9" t="inlineStr">
        <is>
          <t>S3 (snapshot.sh archives)</t>
        </is>
      </c>
      <c r="B9" s="6" t="n">
        <v>0.58</v>
      </c>
      <c r="C9" s="6" t="n">
        <v>1.15</v>
      </c>
      <c r="D9" s="6" t="n">
        <v>2.3</v>
      </c>
      <c r="E9" t="inlineStr">
        <is>
          <t>25 / 50 / 100 GB @ $0.023</t>
        </is>
      </c>
    </row>
    <row r="10">
      <c r="A10" t="inlineStr">
        <is>
          <t>Data transfer out</t>
        </is>
      </c>
      <c r="B10" s="6" t="n">
        <v>0</v>
      </c>
      <c r="C10" s="6" t="n">
        <v>18</v>
      </c>
      <c r="D10" s="6" t="n">
        <v>36</v>
      </c>
      <c r="E10" t="inlineStr">
        <is>
          <t>≤100 GB free / ~300 GB / ~500 GB @ $0.09 after free tier</t>
        </is>
      </c>
    </row>
    <row r="11">
      <c r="A11" t="inlineStr">
        <is>
          <t>Redis</t>
        </is>
      </c>
      <c r="B11" s="6" t="n">
        <v>0</v>
      </c>
      <c r="C11" s="6" t="n">
        <v>0</v>
      </c>
      <c r="D11" s="6" t="n">
        <v>11.68</v>
      </c>
      <c r="E11" t="inlineStr">
        <is>
          <t>on-box (free) until Full fleet → ElastiCache t4g.micro</t>
        </is>
      </c>
    </row>
    <row r="12">
      <c r="A12" t="inlineStr">
        <is>
          <t>Amazon SES email</t>
        </is>
      </c>
      <c r="B12" s="6" t="n">
        <v>0.5</v>
      </c>
      <c r="C12" s="6" t="n">
        <v>1</v>
      </c>
      <c r="D12" s="6" t="n">
        <v>2</v>
      </c>
      <c r="E12" t="inlineStr">
        <is>
          <t>password resets, alerts @ $0.10/1k</t>
        </is>
      </c>
    </row>
    <row r="13">
      <c r="A13" s="3" t="inlineStr">
        <is>
          <t>Data &amp; AI APIs</t>
        </is>
      </c>
      <c r="B13" s="4" t="n"/>
      <c r="C13" s="4" t="n"/>
      <c r="D13" s="4" t="n"/>
      <c r="E13" s="4" t="n"/>
    </row>
    <row r="14">
      <c r="A14" t="inlineStr">
        <is>
          <t>Open-Meteo commercial license</t>
        </is>
      </c>
      <c r="B14" s="6" t="n">
        <v>33</v>
      </c>
      <c r="C14" s="6" t="n">
        <v>33</v>
      </c>
      <c r="D14" s="6" t="n">
        <v>33</v>
      </c>
      <c r="E14" t="inlineStr">
        <is>
          <t>required to sell the weather product (free tier is non-commercial)</t>
        </is>
      </c>
    </row>
    <row r="15">
      <c r="A15" t="inlineStr">
        <is>
          <t>The Odds API</t>
        </is>
      </c>
      <c r="B15" s="6" t="n">
        <v>0</v>
      </c>
      <c r="C15" s="6" t="n">
        <v>30</v>
      </c>
      <c r="D15" s="6" t="n">
        <v>59</v>
      </c>
      <c r="E15" t="inlineStr">
        <is>
          <t>free 500 credits / 20K tier / 100K tier (sports dashboard revived)</t>
        </is>
      </c>
    </row>
    <row r="16">
      <c r="A16" t="inlineStr">
        <is>
          <t>Anthropic Claude API</t>
        </is>
      </c>
      <c r="B16" s="6" t="n">
        <v>10</v>
      </c>
      <c r="C16" s="6" t="n">
        <v>50</v>
      </c>
      <c r="D16" s="6" t="n">
        <v>200</v>
      </c>
      <c r="E16" t="inlineStr">
        <is>
          <t>email relay only / + signal explanations / + Truth LLM extraction (Haiku 4.5 batch)</t>
        </is>
      </c>
    </row>
    <row r="17">
      <c r="A17" t="inlineStr">
        <is>
          <t>X API v2 (pay-per-use)</t>
        </is>
      </c>
      <c r="B17" s="6" t="n">
        <v>0</v>
      </c>
      <c r="C17" s="6" t="n">
        <v>0</v>
      </c>
      <c r="D17" s="6" t="n">
        <v>300</v>
      </c>
      <c r="E17" t="inlineStr">
        <is>
          <t>only if Truth dashboard revived: ~60k post reads/mo @ $0.005</t>
        </is>
      </c>
    </row>
    <row r="18">
      <c r="A18" t="inlineStr">
        <is>
          <t>Alpaca market data</t>
        </is>
      </c>
      <c r="B18" s="6" t="n">
        <v>0</v>
      </c>
      <c r="C18" s="6" t="n">
        <v>0</v>
      </c>
      <c r="D18" s="6" t="n">
        <v>99</v>
      </c>
      <c r="E18" t="inlineStr">
        <is>
          <t>free IEX tier until stock desk needs full SIP feed</t>
        </is>
      </c>
    </row>
    <row r="19">
      <c r="A19" t="inlineStr">
        <is>
          <t>CoinGecko API</t>
        </is>
      </c>
      <c r="B19" s="6" t="n">
        <v>0</v>
      </c>
      <c r="C19" s="6" t="n">
        <v>0</v>
      </c>
      <c r="D19" s="6" t="n">
        <v>129</v>
      </c>
      <c r="E19" t="inlineStr">
        <is>
          <t>free demo tier until crypto-trackers revived (Analyst)</t>
        </is>
      </c>
    </row>
    <row r="20">
      <c r="A20" s="3" t="inlineStr">
        <is>
          <t>SaaS &amp; tooling</t>
        </is>
      </c>
      <c r="B20" s="4" t="n"/>
      <c r="C20" s="4" t="n"/>
      <c r="D20" s="4" t="n"/>
      <c r="E20" s="4" t="n"/>
    </row>
    <row r="21">
      <c r="A21" t="inlineStr">
        <is>
          <t>.ai domain</t>
        </is>
      </c>
      <c r="B21" s="6" t="n">
        <v>6.89</v>
      </c>
      <c r="C21" s="6" t="n">
        <v>6.89</v>
      </c>
      <c r="D21" s="6" t="n">
        <v>6.89</v>
      </c>
      <c r="E21" t="inlineStr">
        <is>
          <t>$82.70/yr Porkbun renewal ÷ 12</t>
        </is>
      </c>
    </row>
    <row r="22">
      <c r="A22" t="inlineStr">
        <is>
          <t>Cloudflare / Tailscale / GitHub</t>
        </is>
      </c>
      <c r="B22" s="6" t="n">
        <v>0</v>
      </c>
      <c r="C22" s="6" t="n">
        <v>0</v>
      </c>
      <c r="D22" s="6" t="n">
        <v>0</v>
      </c>
      <c r="E22" t="inlineStr">
        <is>
          <t>free tiers cover current usage (Tunnel confirmed free)</t>
        </is>
      </c>
    </row>
    <row r="23">
      <c r="A23" t="inlineStr">
        <is>
          <t>Google Workspace (1 user)</t>
        </is>
      </c>
      <c r="B23" s="6" t="n">
        <v>7</v>
      </c>
      <c r="C23" s="6" t="n">
        <v>7</v>
      </c>
      <c r="D23" s="6" t="n">
        <v>14</v>
      </c>
      <c r="E23" t="inlineStr">
        <is>
          <t>Business Starter; 2 users at Full</t>
        </is>
      </c>
    </row>
    <row r="24">
      <c r="A24" t="inlineStr">
        <is>
          <t>Sentry</t>
        </is>
      </c>
      <c r="B24" s="6" t="n">
        <v>0</v>
      </c>
      <c r="C24" s="6" t="n">
        <v>26</v>
      </c>
      <c r="D24" s="6" t="n">
        <v>26</v>
      </c>
      <c r="E24" t="inlineStr">
        <is>
          <t>Developer free / Team</t>
        </is>
      </c>
    </row>
    <row r="25">
      <c r="A25" t="inlineStr">
        <is>
          <t>Apple Developer (iOS app)</t>
        </is>
      </c>
      <c r="B25" s="6" t="n">
        <v>0</v>
      </c>
      <c r="C25" s="6" t="n">
        <v>8.25</v>
      </c>
      <c r="D25" s="6" t="n">
        <v>8.25</v>
      </c>
      <c r="E25" t="inlineStr">
        <is>
          <t>$99/yr ÷ 12 — CryptoEdge iOS app</t>
        </is>
      </c>
    </row>
    <row r="26">
      <c r="A26" s="3" t="inlineStr">
        <is>
          <t>People &amp; professional</t>
        </is>
      </c>
      <c r="B26" s="4" t="n"/>
      <c r="C26" s="4" t="n"/>
      <c r="D26" s="4" t="n"/>
      <c r="E26" s="4" t="n"/>
    </row>
    <row r="27">
      <c r="A27" t="inlineStr">
        <is>
          <t>Founder salary</t>
        </is>
      </c>
      <c r="B27" s="6" t="n">
        <v>0</v>
      </c>
      <c r="C27" s="6" t="n">
        <v>6250</v>
      </c>
      <c r="D27" s="6" t="n">
        <v>6250</v>
      </c>
      <c r="E27" t="inlineStr">
        <is>
          <t>$75k/yr — Pilot 2025 pre-seed median</t>
        </is>
      </c>
    </row>
    <row r="28">
      <c r="A28" t="inlineStr">
        <is>
          <t>Payroll taxes (10%)</t>
        </is>
      </c>
      <c r="B28" s="6" t="n">
        <v>0</v>
      </c>
      <c r="C28" s="6" t="n">
        <v>625</v>
      </c>
      <c r="D28" s="6" t="n">
        <v>625</v>
      </c>
      <c r="E28" t="inlineStr">
        <is>
          <t>employer side</t>
        </is>
      </c>
    </row>
    <row r="29">
      <c r="A29" t="inlineStr">
        <is>
          <t>Part-time contractor</t>
        </is>
      </c>
      <c r="B29" s="6" t="n">
        <v>0</v>
      </c>
      <c r="C29" s="6" t="n">
        <v>1500</v>
      </c>
      <c r="D29" s="6" t="n">
        <v>1500</v>
      </c>
      <c r="E29" t="inlineStr">
        <is>
          <t>planning figure</t>
        </is>
      </c>
    </row>
    <row r="30">
      <c r="A30" t="inlineStr">
        <is>
          <t>Bookkeeping (Pilot Essentials)</t>
        </is>
      </c>
      <c r="B30" s="6" t="n">
        <v>0</v>
      </c>
      <c r="C30" s="6" t="n">
        <v>99</v>
      </c>
      <c r="D30" s="6" t="n">
        <v>99</v>
      </c>
      <c r="E30" t="inlineStr">
        <is>
          <t>$99/mo</t>
        </is>
      </c>
    </row>
    <row r="31">
      <c r="A31" t="inlineStr">
        <is>
          <t>Business insurance (GL+E&amp;O+cyber)</t>
        </is>
      </c>
      <c r="B31" s="6" t="n">
        <v>0</v>
      </c>
      <c r="C31" s="6" t="n">
        <v>281</v>
      </c>
      <c r="D31" s="6" t="n">
        <v>281</v>
      </c>
      <c r="E31" t="inlineStr">
        <is>
          <t>small-SaaS averages (Insureon/TechInsurance)</t>
        </is>
      </c>
    </row>
    <row r="32">
      <c r="A32" t="inlineStr">
        <is>
          <t>Compliance amortized (franchise tax, agent, tax filing)</t>
        </is>
      </c>
      <c r="B32" s="6" t="n">
        <v>37.5</v>
      </c>
      <c r="C32" s="6" t="n">
        <v>125</v>
      </c>
      <c r="D32" s="6" t="n">
        <v>125</v>
      </c>
      <c r="E32" t="inlineStr">
        <is>
          <t>Boot: DE franchise tax only. Funded: +$100 agent +$950 Fondo ÷ 12</t>
        </is>
      </c>
    </row>
    <row r="33">
      <c r="A33" t="inlineStr">
        <is>
          <t>Marketing</t>
        </is>
      </c>
      <c r="B33" s="6" t="n">
        <v>0</v>
      </c>
      <c r="C33" s="6" t="n">
        <v>1000</v>
      </c>
      <c r="D33" s="6" t="n">
        <v>1000</v>
      </c>
      <c r="E33" t="inlineStr">
        <is>
          <t>planning figure</t>
        </is>
      </c>
    </row>
    <row r="34">
      <c r="A34" s="3" t="inlineStr">
        <is>
          <t>TOTALS</t>
        </is>
      </c>
      <c r="B34" s="4" t="n"/>
      <c r="C34" s="4" t="n"/>
      <c r="D34" s="4" t="n"/>
      <c r="E34" s="4" t="n"/>
    </row>
    <row r="35">
      <c r="A35" s="10" t="inlineStr">
        <is>
          <t>Total monthly</t>
        </is>
      </c>
      <c r="B35" s="11">
        <f>SUM(B6:B12,B14:B19,B21:B25,B27:B33)</f>
        <v/>
      </c>
      <c r="C35" s="11">
        <f>SUM(C6:C12,C14:C19,C21:C25,C27:C33)</f>
        <v/>
      </c>
      <c r="D35" s="11">
        <f>SUM(D6:D12,D14:D19,D21:D25,D27:D33)</f>
        <v/>
      </c>
    </row>
    <row r="36">
      <c r="A36" s="10" t="inlineStr">
        <is>
          <t>Total annual</t>
        </is>
      </c>
      <c r="B36" s="12">
        <f>B35*12</f>
        <v/>
      </c>
      <c r="C36" s="12">
        <f>C35*12</f>
        <v/>
      </c>
      <c r="D36" s="12">
        <f>D35*12</f>
        <v/>
      </c>
    </row>
    <row r="38">
      <c r="A38" s="3" t="inlineStr">
        <is>
          <t>ONE-TIME COSTS (paid once, at/around the raise)</t>
        </is>
      </c>
      <c r="B38" s="4" t="n"/>
      <c r="C38" s="4" t="n"/>
      <c r="D38" s="4" t="n"/>
      <c r="E38" s="4" t="n"/>
    </row>
    <row r="39">
      <c r="A39" s="5" t="inlineStr">
        <is>
          <t>Item</t>
        </is>
      </c>
      <c r="B39" s="5" t="inlineStr">
        <is>
          <t>Amount</t>
        </is>
      </c>
      <c r="C39" s="5" t="inlineStr"/>
      <c r="D39" s="5" t="inlineStr"/>
      <c r="E39" s="5" t="inlineStr">
        <is>
          <t>Basis</t>
        </is>
      </c>
    </row>
    <row r="40">
      <c r="A40" t="inlineStr">
        <is>
          <t>Incorporation — Stripe Atlas</t>
        </is>
      </c>
      <c r="B40" s="13" t="n">
        <v>500</v>
      </c>
      <c r="E40" t="inlineStr">
        <is>
          <t>Delaware C-corp, incl. first-year registered agent + 83(b)</t>
        </is>
      </c>
    </row>
    <row r="41">
      <c r="A41" t="inlineStr">
        <is>
          <t>Pre-seed SAFE legal review</t>
        </is>
      </c>
      <c r="B41" s="13" t="n">
        <v>5000</v>
      </c>
      <c r="E41" t="inlineStr">
        <is>
          <t>YC SAFE docs are free; light counsel review $2–5k, avg pre-seed &lt;$10k</t>
        </is>
      </c>
    </row>
    <row r="42">
      <c r="A42" t="inlineStr">
        <is>
          <t>IA/CTA regulatory memo</t>
        </is>
      </c>
      <c r="B42" s="13" t="n">
        <v>15000</v>
      </c>
      <c r="E42" t="inlineStr">
        <is>
          <t>written analysis: Advisers Act publisher exclusion + CTA status for signal subscriptions ($5–25k range)</t>
        </is>
      </c>
    </row>
    <row r="43">
      <c r="A43" s="10" t="inlineStr">
        <is>
          <t>Total one-time</t>
        </is>
      </c>
      <c r="B43" s="14">
        <f>SUM(B40:B42)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24-month subscriber &amp; MRR projections (3 cases)</t>
        </is>
      </c>
    </row>
    <row r="2">
      <c r="A2" t="inlineStr">
        <is>
          <t>Driven by Assumptions drivers. Subs(m) = Subs(m-1) × (1 − churn) + New(m); New grows monthly up to a cap. MRR = Subs × ARPU.</t>
        </is>
      </c>
    </row>
    <row r="4">
      <c r="B4" s="2" t="inlineStr">
        <is>
          <t>Conservative</t>
        </is>
      </c>
      <c r="F4" s="2" t="inlineStr">
        <is>
          <t>Base</t>
        </is>
      </c>
      <c r="J4" s="2" t="inlineStr">
        <is>
          <t>Optimistic</t>
        </is>
      </c>
    </row>
    <row r="5">
      <c r="A5" s="10" t="inlineStr">
        <is>
          <t>Month</t>
        </is>
      </c>
      <c r="B5" s="5" t="inlineStr">
        <is>
          <t>New</t>
        </is>
      </c>
      <c r="C5" s="5" t="inlineStr">
        <is>
          <t>Subs</t>
        </is>
      </c>
      <c r="D5" s="5" t="inlineStr">
        <is>
          <t>MRR $</t>
        </is>
      </c>
      <c r="F5" s="5" t="inlineStr">
        <is>
          <t>New</t>
        </is>
      </c>
      <c r="G5" s="5" t="inlineStr">
        <is>
          <t>Subs</t>
        </is>
      </c>
      <c r="H5" s="5" t="inlineStr">
        <is>
          <t>MRR $</t>
        </is>
      </c>
      <c r="J5" s="5" t="inlineStr">
        <is>
          <t>New</t>
        </is>
      </c>
      <c r="K5" s="5" t="inlineStr">
        <is>
          <t>Subs</t>
        </is>
      </c>
      <c r="L5" s="5" t="inlineStr">
        <is>
          <t>MRR $</t>
        </is>
      </c>
    </row>
    <row r="6">
      <c r="A6" t="n">
        <v>1</v>
      </c>
      <c r="B6" s="13">
        <f>Assumptions!$B$62</f>
        <v/>
      </c>
      <c r="C6" s="13">
        <f>B6</f>
        <v/>
      </c>
      <c r="D6" s="13">
        <f>C6*Assumptions!$B$57</f>
        <v/>
      </c>
      <c r="F6" s="13">
        <f>Assumptions!$B$63</f>
        <v/>
      </c>
      <c r="G6" s="13">
        <f>F6</f>
        <v/>
      </c>
      <c r="H6" s="13">
        <f>G6*Assumptions!$B$57</f>
        <v/>
      </c>
      <c r="J6" s="13">
        <f>Assumptions!$B$66</f>
        <v/>
      </c>
      <c r="K6" s="13">
        <f>J6</f>
        <v/>
      </c>
      <c r="L6" s="13">
        <f>K6*Assumptions!$B$57</f>
        <v/>
      </c>
    </row>
    <row r="7">
      <c r="A7" t="n">
        <v>2</v>
      </c>
      <c r="B7" s="13">
        <f>B6</f>
        <v/>
      </c>
      <c r="C7" s="13">
        <f>C6*(1-Assumptions!$B$60)+B7</f>
        <v/>
      </c>
      <c r="D7" s="13">
        <f>C7*Assumptions!$B$57</f>
        <v/>
      </c>
      <c r="F7" s="13">
        <f>MIN(Assumptions!$B$65,F6*(1+Assumptions!$B$64))</f>
        <v/>
      </c>
      <c r="G7" s="13">
        <f>G6*(1-Assumptions!$B$60)+F7</f>
        <v/>
      </c>
      <c r="H7" s="13">
        <f>G7*Assumptions!$B$57</f>
        <v/>
      </c>
      <c r="J7" s="13">
        <f>MIN(Assumptions!$B$68,J6*(1+Assumptions!$B$67))</f>
        <v/>
      </c>
      <c r="K7" s="13">
        <f>K6*(1-Assumptions!$B$61)+J7</f>
        <v/>
      </c>
      <c r="L7" s="13">
        <f>K7*Assumptions!$B$57</f>
        <v/>
      </c>
    </row>
    <row r="8">
      <c r="A8" t="n">
        <v>3</v>
      </c>
      <c r="B8" s="13">
        <f>B7</f>
        <v/>
      </c>
      <c r="C8" s="13">
        <f>C7*(1-Assumptions!$B$60)+B8</f>
        <v/>
      </c>
      <c r="D8" s="13">
        <f>C8*Assumptions!$B$57</f>
        <v/>
      </c>
      <c r="F8" s="13">
        <f>MIN(Assumptions!$B$65,F7*(1+Assumptions!$B$64))</f>
        <v/>
      </c>
      <c r="G8" s="13">
        <f>G7*(1-Assumptions!$B$60)+F8</f>
        <v/>
      </c>
      <c r="H8" s="13">
        <f>G8*Assumptions!$B$57</f>
        <v/>
      </c>
      <c r="J8" s="13">
        <f>MIN(Assumptions!$B$68,J7*(1+Assumptions!$B$67))</f>
        <v/>
      </c>
      <c r="K8" s="13">
        <f>K7*(1-Assumptions!$B$61)+J8</f>
        <v/>
      </c>
      <c r="L8" s="13">
        <f>K8*Assumptions!$B$57</f>
        <v/>
      </c>
    </row>
    <row r="9">
      <c r="A9" t="n">
        <v>4</v>
      </c>
      <c r="B9" s="13">
        <f>B8</f>
        <v/>
      </c>
      <c r="C9" s="13">
        <f>C8*(1-Assumptions!$B$60)+B9</f>
        <v/>
      </c>
      <c r="D9" s="13">
        <f>C9*Assumptions!$B$57</f>
        <v/>
      </c>
      <c r="F9" s="13">
        <f>MIN(Assumptions!$B$65,F8*(1+Assumptions!$B$64))</f>
        <v/>
      </c>
      <c r="G9" s="13">
        <f>G8*(1-Assumptions!$B$60)+F9</f>
        <v/>
      </c>
      <c r="H9" s="13">
        <f>G9*Assumptions!$B$57</f>
        <v/>
      </c>
      <c r="J9" s="13">
        <f>MIN(Assumptions!$B$68,J8*(1+Assumptions!$B$67))</f>
        <v/>
      </c>
      <c r="K9" s="13">
        <f>K8*(1-Assumptions!$B$61)+J9</f>
        <v/>
      </c>
      <c r="L9" s="13">
        <f>K9*Assumptions!$B$57</f>
        <v/>
      </c>
    </row>
    <row r="10">
      <c r="A10" t="n">
        <v>5</v>
      </c>
      <c r="B10" s="13">
        <f>B9</f>
        <v/>
      </c>
      <c r="C10" s="13">
        <f>C9*(1-Assumptions!$B$60)+B10</f>
        <v/>
      </c>
      <c r="D10" s="13">
        <f>C10*Assumptions!$B$57</f>
        <v/>
      </c>
      <c r="F10" s="13">
        <f>MIN(Assumptions!$B$65,F9*(1+Assumptions!$B$64))</f>
        <v/>
      </c>
      <c r="G10" s="13">
        <f>G9*(1-Assumptions!$B$60)+F10</f>
        <v/>
      </c>
      <c r="H10" s="13">
        <f>G10*Assumptions!$B$57</f>
        <v/>
      </c>
      <c r="J10" s="13">
        <f>MIN(Assumptions!$B$68,J9*(1+Assumptions!$B$67))</f>
        <v/>
      </c>
      <c r="K10" s="13">
        <f>K9*(1-Assumptions!$B$61)+J10</f>
        <v/>
      </c>
      <c r="L10" s="13">
        <f>K10*Assumptions!$B$57</f>
        <v/>
      </c>
    </row>
    <row r="11">
      <c r="A11" t="n">
        <v>6</v>
      </c>
      <c r="B11" s="13">
        <f>B10</f>
        <v/>
      </c>
      <c r="C11" s="13">
        <f>C10*(1-Assumptions!$B$60)+B11</f>
        <v/>
      </c>
      <c r="D11" s="13">
        <f>C11*Assumptions!$B$57</f>
        <v/>
      </c>
      <c r="F11" s="13">
        <f>MIN(Assumptions!$B$65,F10*(1+Assumptions!$B$64))</f>
        <v/>
      </c>
      <c r="G11" s="13">
        <f>G10*(1-Assumptions!$B$60)+F11</f>
        <v/>
      </c>
      <c r="H11" s="13">
        <f>G11*Assumptions!$B$57</f>
        <v/>
      </c>
      <c r="J11" s="13">
        <f>MIN(Assumptions!$B$68,J10*(1+Assumptions!$B$67))</f>
        <v/>
      </c>
      <c r="K11" s="13">
        <f>K10*(1-Assumptions!$B$61)+J11</f>
        <v/>
      </c>
      <c r="L11" s="13">
        <f>K11*Assumptions!$B$57</f>
        <v/>
      </c>
    </row>
    <row r="12">
      <c r="A12" t="n">
        <v>7</v>
      </c>
      <c r="B12" s="13">
        <f>B11</f>
        <v/>
      </c>
      <c r="C12" s="13">
        <f>C11*(1-Assumptions!$B$60)+B12</f>
        <v/>
      </c>
      <c r="D12" s="13">
        <f>C12*Assumptions!$B$57</f>
        <v/>
      </c>
      <c r="F12" s="13">
        <f>MIN(Assumptions!$B$65,F11*(1+Assumptions!$B$64))</f>
        <v/>
      </c>
      <c r="G12" s="13">
        <f>G11*(1-Assumptions!$B$60)+F12</f>
        <v/>
      </c>
      <c r="H12" s="13">
        <f>G12*Assumptions!$B$57</f>
        <v/>
      </c>
      <c r="J12" s="13">
        <f>MIN(Assumptions!$B$68,J11*(1+Assumptions!$B$67))</f>
        <v/>
      </c>
      <c r="K12" s="13">
        <f>K11*(1-Assumptions!$B$61)+J12</f>
        <v/>
      </c>
      <c r="L12" s="13">
        <f>K12*Assumptions!$B$57</f>
        <v/>
      </c>
    </row>
    <row r="13">
      <c r="A13" t="n">
        <v>8</v>
      </c>
      <c r="B13" s="13">
        <f>B12</f>
        <v/>
      </c>
      <c r="C13" s="13">
        <f>C12*(1-Assumptions!$B$60)+B13</f>
        <v/>
      </c>
      <c r="D13" s="13">
        <f>C13*Assumptions!$B$57</f>
        <v/>
      </c>
      <c r="F13" s="13">
        <f>MIN(Assumptions!$B$65,F12*(1+Assumptions!$B$64))</f>
        <v/>
      </c>
      <c r="G13" s="13">
        <f>G12*(1-Assumptions!$B$60)+F13</f>
        <v/>
      </c>
      <c r="H13" s="13">
        <f>G13*Assumptions!$B$57</f>
        <v/>
      </c>
      <c r="J13" s="13">
        <f>MIN(Assumptions!$B$68,J12*(1+Assumptions!$B$67))</f>
        <v/>
      </c>
      <c r="K13" s="13">
        <f>K12*(1-Assumptions!$B$61)+J13</f>
        <v/>
      </c>
      <c r="L13" s="13">
        <f>K13*Assumptions!$B$57</f>
        <v/>
      </c>
    </row>
    <row r="14">
      <c r="A14" t="n">
        <v>9</v>
      </c>
      <c r="B14" s="13">
        <f>B13</f>
        <v/>
      </c>
      <c r="C14" s="13">
        <f>C13*(1-Assumptions!$B$60)+B14</f>
        <v/>
      </c>
      <c r="D14" s="13">
        <f>C14*Assumptions!$B$57</f>
        <v/>
      </c>
      <c r="F14" s="13">
        <f>MIN(Assumptions!$B$65,F13*(1+Assumptions!$B$64))</f>
        <v/>
      </c>
      <c r="G14" s="13">
        <f>G13*(1-Assumptions!$B$60)+F14</f>
        <v/>
      </c>
      <c r="H14" s="13">
        <f>G14*Assumptions!$B$57</f>
        <v/>
      </c>
      <c r="J14" s="13">
        <f>MIN(Assumptions!$B$68,J13*(1+Assumptions!$B$67))</f>
        <v/>
      </c>
      <c r="K14" s="13">
        <f>K13*(1-Assumptions!$B$61)+J14</f>
        <v/>
      </c>
      <c r="L14" s="13">
        <f>K14*Assumptions!$B$57</f>
        <v/>
      </c>
    </row>
    <row r="15">
      <c r="A15" t="n">
        <v>10</v>
      </c>
      <c r="B15" s="13">
        <f>B14</f>
        <v/>
      </c>
      <c r="C15" s="13">
        <f>C14*(1-Assumptions!$B$60)+B15</f>
        <v/>
      </c>
      <c r="D15" s="13">
        <f>C15*Assumptions!$B$57</f>
        <v/>
      </c>
      <c r="F15" s="13">
        <f>MIN(Assumptions!$B$65,F14*(1+Assumptions!$B$64))</f>
        <v/>
      </c>
      <c r="G15" s="13">
        <f>G14*(1-Assumptions!$B$60)+F15</f>
        <v/>
      </c>
      <c r="H15" s="13">
        <f>G15*Assumptions!$B$57</f>
        <v/>
      </c>
      <c r="J15" s="13">
        <f>MIN(Assumptions!$B$68,J14*(1+Assumptions!$B$67))</f>
        <v/>
      </c>
      <c r="K15" s="13">
        <f>K14*(1-Assumptions!$B$61)+J15</f>
        <v/>
      </c>
      <c r="L15" s="13">
        <f>K15*Assumptions!$B$57</f>
        <v/>
      </c>
    </row>
    <row r="16">
      <c r="A16" t="n">
        <v>11</v>
      </c>
      <c r="B16" s="13">
        <f>B15</f>
        <v/>
      </c>
      <c r="C16" s="13">
        <f>C15*(1-Assumptions!$B$60)+B16</f>
        <v/>
      </c>
      <c r="D16" s="13">
        <f>C16*Assumptions!$B$57</f>
        <v/>
      </c>
      <c r="F16" s="13">
        <f>MIN(Assumptions!$B$65,F15*(1+Assumptions!$B$64))</f>
        <v/>
      </c>
      <c r="G16" s="13">
        <f>G15*(1-Assumptions!$B$60)+F16</f>
        <v/>
      </c>
      <c r="H16" s="13">
        <f>G16*Assumptions!$B$57</f>
        <v/>
      </c>
      <c r="J16" s="13">
        <f>MIN(Assumptions!$B$68,J15*(1+Assumptions!$B$67))</f>
        <v/>
      </c>
      <c r="K16" s="13">
        <f>K15*(1-Assumptions!$B$61)+J16</f>
        <v/>
      </c>
      <c r="L16" s="13">
        <f>K16*Assumptions!$B$57</f>
        <v/>
      </c>
    </row>
    <row r="17">
      <c r="A17" t="n">
        <v>12</v>
      </c>
      <c r="B17" s="13">
        <f>B16</f>
        <v/>
      </c>
      <c r="C17" s="13">
        <f>C16*(1-Assumptions!$B$60)+B17</f>
        <v/>
      </c>
      <c r="D17" s="13">
        <f>C17*Assumptions!$B$57</f>
        <v/>
      </c>
      <c r="F17" s="13">
        <f>MIN(Assumptions!$B$65,F16*(1+Assumptions!$B$64))</f>
        <v/>
      </c>
      <c r="G17" s="13">
        <f>G16*(1-Assumptions!$B$60)+F17</f>
        <v/>
      </c>
      <c r="H17" s="13">
        <f>G17*Assumptions!$B$57</f>
        <v/>
      </c>
      <c r="J17" s="13">
        <f>MIN(Assumptions!$B$68,J16*(1+Assumptions!$B$67))</f>
        <v/>
      </c>
      <c r="K17" s="13">
        <f>K16*(1-Assumptions!$B$61)+J17</f>
        <v/>
      </c>
      <c r="L17" s="13">
        <f>K17*Assumptions!$B$57</f>
        <v/>
      </c>
    </row>
    <row r="18">
      <c r="A18" t="n">
        <v>13</v>
      </c>
      <c r="B18" s="13">
        <f>B17</f>
        <v/>
      </c>
      <c r="C18" s="13">
        <f>C17*(1-Assumptions!$B$60)+B18</f>
        <v/>
      </c>
      <c r="D18" s="13">
        <f>C18*Assumptions!$B$57</f>
        <v/>
      </c>
      <c r="F18" s="13">
        <f>MIN(Assumptions!$B$65,F17*(1+Assumptions!$B$64))</f>
        <v/>
      </c>
      <c r="G18" s="13">
        <f>G17*(1-Assumptions!$B$60)+F18</f>
        <v/>
      </c>
      <c r="H18" s="13">
        <f>G18*Assumptions!$B$57</f>
        <v/>
      </c>
      <c r="J18" s="13">
        <f>MIN(Assumptions!$B$68,J17*(1+Assumptions!$B$67))</f>
        <v/>
      </c>
      <c r="K18" s="13">
        <f>K17*(1-Assumptions!$B$61)+J18</f>
        <v/>
      </c>
      <c r="L18" s="13">
        <f>K18*Assumptions!$B$57</f>
        <v/>
      </c>
    </row>
    <row r="19">
      <c r="A19" t="n">
        <v>14</v>
      </c>
      <c r="B19" s="13">
        <f>B18</f>
        <v/>
      </c>
      <c r="C19" s="13">
        <f>C18*(1-Assumptions!$B$60)+B19</f>
        <v/>
      </c>
      <c r="D19" s="13">
        <f>C19*Assumptions!$B$57</f>
        <v/>
      </c>
      <c r="F19" s="13">
        <f>MIN(Assumptions!$B$65,F18*(1+Assumptions!$B$64))</f>
        <v/>
      </c>
      <c r="G19" s="13">
        <f>G18*(1-Assumptions!$B$60)+F19</f>
        <v/>
      </c>
      <c r="H19" s="13">
        <f>G19*Assumptions!$B$57</f>
        <v/>
      </c>
      <c r="J19" s="13">
        <f>MIN(Assumptions!$B$68,J18*(1+Assumptions!$B$67))</f>
        <v/>
      </c>
      <c r="K19" s="13">
        <f>K18*(1-Assumptions!$B$61)+J19</f>
        <v/>
      </c>
      <c r="L19" s="13">
        <f>K19*Assumptions!$B$57</f>
        <v/>
      </c>
    </row>
    <row r="20">
      <c r="A20" t="n">
        <v>15</v>
      </c>
      <c r="B20" s="13">
        <f>B19</f>
        <v/>
      </c>
      <c r="C20" s="13">
        <f>C19*(1-Assumptions!$B$60)+B20</f>
        <v/>
      </c>
      <c r="D20" s="13">
        <f>C20*Assumptions!$B$57</f>
        <v/>
      </c>
      <c r="F20" s="13">
        <f>MIN(Assumptions!$B$65,F19*(1+Assumptions!$B$64))</f>
        <v/>
      </c>
      <c r="G20" s="13">
        <f>G19*(1-Assumptions!$B$60)+F20</f>
        <v/>
      </c>
      <c r="H20" s="13">
        <f>G20*Assumptions!$B$57</f>
        <v/>
      </c>
      <c r="J20" s="13">
        <f>MIN(Assumptions!$B$68,J19*(1+Assumptions!$B$67))</f>
        <v/>
      </c>
      <c r="K20" s="13">
        <f>K19*(1-Assumptions!$B$61)+J20</f>
        <v/>
      </c>
      <c r="L20" s="13">
        <f>K20*Assumptions!$B$57</f>
        <v/>
      </c>
    </row>
    <row r="21">
      <c r="A21" t="n">
        <v>16</v>
      </c>
      <c r="B21" s="13">
        <f>B20</f>
        <v/>
      </c>
      <c r="C21" s="13">
        <f>C20*(1-Assumptions!$B$60)+B21</f>
        <v/>
      </c>
      <c r="D21" s="13">
        <f>C21*Assumptions!$B$57</f>
        <v/>
      </c>
      <c r="F21" s="13">
        <f>MIN(Assumptions!$B$65,F20*(1+Assumptions!$B$64))</f>
        <v/>
      </c>
      <c r="G21" s="13">
        <f>G20*(1-Assumptions!$B$60)+F21</f>
        <v/>
      </c>
      <c r="H21" s="13">
        <f>G21*Assumptions!$B$57</f>
        <v/>
      </c>
      <c r="J21" s="13">
        <f>MIN(Assumptions!$B$68,J20*(1+Assumptions!$B$67))</f>
        <v/>
      </c>
      <c r="K21" s="13">
        <f>K20*(1-Assumptions!$B$61)+J21</f>
        <v/>
      </c>
      <c r="L21" s="13">
        <f>K21*Assumptions!$B$57</f>
        <v/>
      </c>
    </row>
    <row r="22">
      <c r="A22" t="n">
        <v>17</v>
      </c>
      <c r="B22" s="13">
        <f>B21</f>
        <v/>
      </c>
      <c r="C22" s="13">
        <f>C21*(1-Assumptions!$B$60)+B22</f>
        <v/>
      </c>
      <c r="D22" s="13">
        <f>C22*Assumptions!$B$57</f>
        <v/>
      </c>
      <c r="F22" s="13">
        <f>MIN(Assumptions!$B$65,F21*(1+Assumptions!$B$64))</f>
        <v/>
      </c>
      <c r="G22" s="13">
        <f>G21*(1-Assumptions!$B$60)+F22</f>
        <v/>
      </c>
      <c r="H22" s="13">
        <f>G22*Assumptions!$B$57</f>
        <v/>
      </c>
      <c r="J22" s="13">
        <f>MIN(Assumptions!$B$68,J21*(1+Assumptions!$B$67))</f>
        <v/>
      </c>
      <c r="K22" s="13">
        <f>K21*(1-Assumptions!$B$61)+J22</f>
        <v/>
      </c>
      <c r="L22" s="13">
        <f>K22*Assumptions!$B$57</f>
        <v/>
      </c>
    </row>
    <row r="23">
      <c r="A23" t="n">
        <v>18</v>
      </c>
      <c r="B23" s="13">
        <f>B22</f>
        <v/>
      </c>
      <c r="C23" s="13">
        <f>C22*(1-Assumptions!$B$60)+B23</f>
        <v/>
      </c>
      <c r="D23" s="13">
        <f>C23*Assumptions!$B$57</f>
        <v/>
      </c>
      <c r="F23" s="13">
        <f>MIN(Assumptions!$B$65,F22*(1+Assumptions!$B$64))</f>
        <v/>
      </c>
      <c r="G23" s="13">
        <f>G22*(1-Assumptions!$B$60)+F23</f>
        <v/>
      </c>
      <c r="H23" s="13">
        <f>G23*Assumptions!$B$57</f>
        <v/>
      </c>
      <c r="J23" s="13">
        <f>MIN(Assumptions!$B$68,J22*(1+Assumptions!$B$67))</f>
        <v/>
      </c>
      <c r="K23" s="13">
        <f>K22*(1-Assumptions!$B$61)+J23</f>
        <v/>
      </c>
      <c r="L23" s="13">
        <f>K23*Assumptions!$B$57</f>
        <v/>
      </c>
    </row>
    <row r="24">
      <c r="A24" t="n">
        <v>19</v>
      </c>
      <c r="B24" s="13">
        <f>B23</f>
        <v/>
      </c>
      <c r="C24" s="13">
        <f>C23*(1-Assumptions!$B$60)+B24</f>
        <v/>
      </c>
      <c r="D24" s="13">
        <f>C24*Assumptions!$B$57</f>
        <v/>
      </c>
      <c r="F24" s="13">
        <f>MIN(Assumptions!$B$65,F23*(1+Assumptions!$B$64))</f>
        <v/>
      </c>
      <c r="G24" s="13">
        <f>G23*(1-Assumptions!$B$60)+F24</f>
        <v/>
      </c>
      <c r="H24" s="13">
        <f>G24*Assumptions!$B$57</f>
        <v/>
      </c>
      <c r="J24" s="13">
        <f>MIN(Assumptions!$B$68,J23*(1+Assumptions!$B$67))</f>
        <v/>
      </c>
      <c r="K24" s="13">
        <f>K23*(1-Assumptions!$B$61)+J24</f>
        <v/>
      </c>
      <c r="L24" s="13">
        <f>K24*Assumptions!$B$57</f>
        <v/>
      </c>
    </row>
    <row r="25">
      <c r="A25" t="n">
        <v>20</v>
      </c>
      <c r="B25" s="13">
        <f>B24</f>
        <v/>
      </c>
      <c r="C25" s="13">
        <f>C24*(1-Assumptions!$B$60)+B25</f>
        <v/>
      </c>
      <c r="D25" s="13">
        <f>C25*Assumptions!$B$57</f>
        <v/>
      </c>
      <c r="F25" s="13">
        <f>MIN(Assumptions!$B$65,F24*(1+Assumptions!$B$64))</f>
        <v/>
      </c>
      <c r="G25" s="13">
        <f>G24*(1-Assumptions!$B$60)+F25</f>
        <v/>
      </c>
      <c r="H25" s="13">
        <f>G25*Assumptions!$B$57</f>
        <v/>
      </c>
      <c r="J25" s="13">
        <f>MIN(Assumptions!$B$68,J24*(1+Assumptions!$B$67))</f>
        <v/>
      </c>
      <c r="K25" s="13">
        <f>K24*(1-Assumptions!$B$61)+J25</f>
        <v/>
      </c>
      <c r="L25" s="13">
        <f>K25*Assumptions!$B$57</f>
        <v/>
      </c>
    </row>
    <row r="26">
      <c r="A26" t="n">
        <v>21</v>
      </c>
      <c r="B26" s="13">
        <f>B25</f>
        <v/>
      </c>
      <c r="C26" s="13">
        <f>C25*(1-Assumptions!$B$60)+B26</f>
        <v/>
      </c>
      <c r="D26" s="13">
        <f>C26*Assumptions!$B$57</f>
        <v/>
      </c>
      <c r="F26" s="13">
        <f>MIN(Assumptions!$B$65,F25*(1+Assumptions!$B$64))</f>
        <v/>
      </c>
      <c r="G26" s="13">
        <f>G25*(1-Assumptions!$B$60)+F26</f>
        <v/>
      </c>
      <c r="H26" s="13">
        <f>G26*Assumptions!$B$57</f>
        <v/>
      </c>
      <c r="J26" s="13">
        <f>MIN(Assumptions!$B$68,J25*(1+Assumptions!$B$67))</f>
        <v/>
      </c>
      <c r="K26" s="13">
        <f>K25*(1-Assumptions!$B$61)+J26</f>
        <v/>
      </c>
      <c r="L26" s="13">
        <f>K26*Assumptions!$B$57</f>
        <v/>
      </c>
    </row>
    <row r="27">
      <c r="A27" t="n">
        <v>22</v>
      </c>
      <c r="B27" s="13">
        <f>B26</f>
        <v/>
      </c>
      <c r="C27" s="13">
        <f>C26*(1-Assumptions!$B$60)+B27</f>
        <v/>
      </c>
      <c r="D27" s="13">
        <f>C27*Assumptions!$B$57</f>
        <v/>
      </c>
      <c r="F27" s="13">
        <f>MIN(Assumptions!$B$65,F26*(1+Assumptions!$B$64))</f>
        <v/>
      </c>
      <c r="G27" s="13">
        <f>G26*(1-Assumptions!$B$60)+F27</f>
        <v/>
      </c>
      <c r="H27" s="13">
        <f>G27*Assumptions!$B$57</f>
        <v/>
      </c>
      <c r="J27" s="13">
        <f>MIN(Assumptions!$B$68,J26*(1+Assumptions!$B$67))</f>
        <v/>
      </c>
      <c r="K27" s="13">
        <f>K26*(1-Assumptions!$B$61)+J27</f>
        <v/>
      </c>
      <c r="L27" s="13">
        <f>K27*Assumptions!$B$57</f>
        <v/>
      </c>
    </row>
    <row r="28">
      <c r="A28" t="n">
        <v>23</v>
      </c>
      <c r="B28" s="13">
        <f>B27</f>
        <v/>
      </c>
      <c r="C28" s="13">
        <f>C27*(1-Assumptions!$B$60)+B28</f>
        <v/>
      </c>
      <c r="D28" s="13">
        <f>C28*Assumptions!$B$57</f>
        <v/>
      </c>
      <c r="F28" s="13">
        <f>MIN(Assumptions!$B$65,F27*(1+Assumptions!$B$64))</f>
        <v/>
      </c>
      <c r="G28" s="13">
        <f>G27*(1-Assumptions!$B$60)+F28</f>
        <v/>
      </c>
      <c r="H28" s="13">
        <f>G28*Assumptions!$B$57</f>
        <v/>
      </c>
      <c r="J28" s="13">
        <f>MIN(Assumptions!$B$68,J27*(1+Assumptions!$B$67))</f>
        <v/>
      </c>
      <c r="K28" s="13">
        <f>K27*(1-Assumptions!$B$61)+J28</f>
        <v/>
      </c>
      <c r="L28" s="13">
        <f>K28*Assumptions!$B$57</f>
        <v/>
      </c>
    </row>
    <row r="29">
      <c r="A29" t="n">
        <v>24</v>
      </c>
      <c r="B29" s="13">
        <f>B28</f>
        <v/>
      </c>
      <c r="C29" s="13">
        <f>C28*(1-Assumptions!$B$60)+B29</f>
        <v/>
      </c>
      <c r="D29" s="13">
        <f>C29*Assumptions!$B$57</f>
        <v/>
      </c>
      <c r="F29" s="13">
        <f>MIN(Assumptions!$B$65,F28*(1+Assumptions!$B$64))</f>
        <v/>
      </c>
      <c r="G29" s="13">
        <f>G28*(1-Assumptions!$B$60)+F29</f>
        <v/>
      </c>
      <c r="H29" s="13">
        <f>G29*Assumptions!$B$57</f>
        <v/>
      </c>
      <c r="J29" s="13">
        <f>MIN(Assumptions!$B$68,J28*(1+Assumptions!$B$67))</f>
        <v/>
      </c>
      <c r="K29" s="13">
        <f>K28*(1-Assumptions!$B$61)+J29</f>
        <v/>
      </c>
      <c r="L29" s="13">
        <f>K29*Assumptions!$B$57</f>
        <v/>
      </c>
    </row>
    <row r="31">
      <c r="A31" s="10" t="inlineStr">
        <is>
          <t>Month-24 MRR</t>
        </is>
      </c>
      <c r="D31" s="14">
        <f>D29</f>
        <v/>
      </c>
      <c r="H31" s="14">
        <f>H29</f>
        <v/>
      </c>
      <c r="L31" s="14">
        <f>L29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>
      <c r="A1" s="1" t="inlineStr">
        <is>
          <t>Monthly P&amp;L — Funded pre-seed plan × Base growth case (USD)</t>
        </is>
      </c>
    </row>
    <row r="2">
      <c r="A2" t="inlineStr">
        <is>
          <t>Accrual-style operating P&amp;L; one-time costs hit month 1. Cumulative cash line drives the Raise tab.</t>
        </is>
      </c>
    </row>
    <row r="4">
      <c r="A4" s="15" t="inlineStr">
        <is>
          <t>Line</t>
        </is>
      </c>
      <c r="B4" s="15" t="inlineStr">
        <is>
          <t>M1</t>
        </is>
      </c>
      <c r="C4" s="15" t="inlineStr">
        <is>
          <t>M2</t>
        </is>
      </c>
      <c r="D4" s="15" t="inlineStr">
        <is>
          <t>M3</t>
        </is>
      </c>
      <c r="E4" s="15" t="inlineStr">
        <is>
          <t>M4</t>
        </is>
      </c>
      <c r="F4" s="15" t="inlineStr">
        <is>
          <t>M5</t>
        </is>
      </c>
      <c r="G4" s="15" t="inlineStr">
        <is>
          <t>M6</t>
        </is>
      </c>
      <c r="H4" s="15" t="inlineStr">
        <is>
          <t>M7</t>
        </is>
      </c>
      <c r="I4" s="15" t="inlineStr">
        <is>
          <t>M8</t>
        </is>
      </c>
      <c r="J4" s="15" t="inlineStr">
        <is>
          <t>M9</t>
        </is>
      </c>
      <c r="K4" s="15" t="inlineStr">
        <is>
          <t>M10</t>
        </is>
      </c>
      <c r="L4" s="15" t="inlineStr">
        <is>
          <t>M11</t>
        </is>
      </c>
      <c r="M4" s="15" t="inlineStr">
        <is>
          <t>M12</t>
        </is>
      </c>
      <c r="N4" s="15" t="inlineStr">
        <is>
          <t>M13</t>
        </is>
      </c>
      <c r="O4" s="15" t="inlineStr">
        <is>
          <t>M14</t>
        </is>
      </c>
      <c r="P4" s="15" t="inlineStr">
        <is>
          <t>M15</t>
        </is>
      </c>
      <c r="Q4" s="15" t="inlineStr">
        <is>
          <t>M16</t>
        </is>
      </c>
      <c r="R4" s="15" t="inlineStr">
        <is>
          <t>M17</t>
        </is>
      </c>
      <c r="S4" s="15" t="inlineStr">
        <is>
          <t>M18</t>
        </is>
      </c>
      <c r="T4" s="15" t="inlineStr">
        <is>
          <t>M19</t>
        </is>
      </c>
      <c r="U4" s="15" t="inlineStr">
        <is>
          <t>M20</t>
        </is>
      </c>
      <c r="V4" s="15" t="inlineStr">
        <is>
          <t>M21</t>
        </is>
      </c>
      <c r="W4" s="15" t="inlineStr">
        <is>
          <t>M22</t>
        </is>
      </c>
      <c r="X4" s="15" t="inlineStr">
        <is>
          <t>M23</t>
        </is>
      </c>
      <c r="Y4" s="15" t="inlineStr">
        <is>
          <t>M24</t>
        </is>
      </c>
    </row>
    <row r="5">
      <c r="A5" s="16" t="inlineStr">
        <is>
          <t>Subscribers (avg)</t>
        </is>
      </c>
      <c r="B5" s="13">
        <f>Projections!G6</f>
        <v/>
      </c>
      <c r="C5" s="13">
        <f>Projections!G7</f>
        <v/>
      </c>
      <c r="D5" s="13">
        <f>Projections!G8</f>
        <v/>
      </c>
      <c r="E5" s="13">
        <f>Projections!G9</f>
        <v/>
      </c>
      <c r="F5" s="13">
        <f>Projections!G10</f>
        <v/>
      </c>
      <c r="G5" s="13">
        <f>Projections!G11</f>
        <v/>
      </c>
      <c r="H5" s="13">
        <f>Projections!G12</f>
        <v/>
      </c>
      <c r="I5" s="13">
        <f>Projections!G13</f>
        <v/>
      </c>
      <c r="J5" s="13">
        <f>Projections!G14</f>
        <v/>
      </c>
      <c r="K5" s="13">
        <f>Projections!G15</f>
        <v/>
      </c>
      <c r="L5" s="13">
        <f>Projections!G16</f>
        <v/>
      </c>
      <c r="M5" s="13">
        <f>Projections!G17</f>
        <v/>
      </c>
      <c r="N5" s="13">
        <f>Projections!G18</f>
        <v/>
      </c>
      <c r="O5" s="13">
        <f>Projections!G19</f>
        <v/>
      </c>
      <c r="P5" s="13">
        <f>Projections!G20</f>
        <v/>
      </c>
      <c r="Q5" s="13">
        <f>Projections!G21</f>
        <v/>
      </c>
      <c r="R5" s="13">
        <f>Projections!G22</f>
        <v/>
      </c>
      <c r="S5" s="13">
        <f>Projections!G23</f>
        <v/>
      </c>
      <c r="T5" s="13">
        <f>Projections!G24</f>
        <v/>
      </c>
      <c r="U5" s="13">
        <f>Projections!G25</f>
        <v/>
      </c>
      <c r="V5" s="13">
        <f>Projections!G26</f>
        <v/>
      </c>
      <c r="W5" s="13">
        <f>Projections!G27</f>
        <v/>
      </c>
      <c r="X5" s="13">
        <f>Projections!G28</f>
        <v/>
      </c>
      <c r="Y5" s="13">
        <f>Projections!G29</f>
        <v/>
      </c>
    </row>
    <row r="6">
      <c r="A6" s="16" t="inlineStr">
        <is>
          <t>Revenue (MRR)</t>
        </is>
      </c>
      <c r="B6" s="13">
        <f>Projections!H6</f>
        <v/>
      </c>
      <c r="C6" s="13">
        <f>Projections!H7</f>
        <v/>
      </c>
      <c r="D6" s="13">
        <f>Projections!H8</f>
        <v/>
      </c>
      <c r="E6" s="13">
        <f>Projections!H9</f>
        <v/>
      </c>
      <c r="F6" s="13">
        <f>Projections!H10</f>
        <v/>
      </c>
      <c r="G6" s="13">
        <f>Projections!H11</f>
        <v/>
      </c>
      <c r="H6" s="13">
        <f>Projections!H12</f>
        <v/>
      </c>
      <c r="I6" s="13">
        <f>Projections!H13</f>
        <v/>
      </c>
      <c r="J6" s="13">
        <f>Projections!H14</f>
        <v/>
      </c>
      <c r="K6" s="13">
        <f>Projections!H15</f>
        <v/>
      </c>
      <c r="L6" s="13">
        <f>Projections!H16</f>
        <v/>
      </c>
      <c r="M6" s="13">
        <f>Projections!H17</f>
        <v/>
      </c>
      <c r="N6" s="13">
        <f>Projections!H18</f>
        <v/>
      </c>
      <c r="O6" s="13">
        <f>Projections!H19</f>
        <v/>
      </c>
      <c r="P6" s="13">
        <f>Projections!H20</f>
        <v/>
      </c>
      <c r="Q6" s="13">
        <f>Projections!H21</f>
        <v/>
      </c>
      <c r="R6" s="13">
        <f>Projections!H22</f>
        <v/>
      </c>
      <c r="S6" s="13">
        <f>Projections!H23</f>
        <v/>
      </c>
      <c r="T6" s="13">
        <f>Projections!H24</f>
        <v/>
      </c>
      <c r="U6" s="13">
        <f>Projections!H25</f>
        <v/>
      </c>
      <c r="V6" s="13">
        <f>Projections!H26</f>
        <v/>
      </c>
      <c r="W6" s="13">
        <f>Projections!H27</f>
        <v/>
      </c>
      <c r="X6" s="13">
        <f>Projections!H28</f>
        <v/>
      </c>
      <c r="Y6" s="13">
        <f>Projections!H29</f>
        <v/>
      </c>
    </row>
    <row r="7">
      <c r="A7" s="16" t="inlineStr">
        <is>
          <t>Stripe fees</t>
        </is>
      </c>
      <c r="B7" s="13">
        <f>-(B6*Assumptions!$B$58+B5*Assumptions!$B$59)</f>
        <v/>
      </c>
      <c r="C7" s="13">
        <f>-(C6*Assumptions!$B$58+C5*Assumptions!$B$59)</f>
        <v/>
      </c>
      <c r="D7" s="13">
        <f>-(D6*Assumptions!$B$58+D5*Assumptions!$B$59)</f>
        <v/>
      </c>
      <c r="E7" s="13">
        <f>-(E6*Assumptions!$B$58+E5*Assumptions!$B$59)</f>
        <v/>
      </c>
      <c r="F7" s="13">
        <f>-(F6*Assumptions!$B$58+F5*Assumptions!$B$59)</f>
        <v/>
      </c>
      <c r="G7" s="13">
        <f>-(G6*Assumptions!$B$58+G5*Assumptions!$B$59)</f>
        <v/>
      </c>
      <c r="H7" s="13">
        <f>-(H6*Assumptions!$B$58+H5*Assumptions!$B$59)</f>
        <v/>
      </c>
      <c r="I7" s="13">
        <f>-(I6*Assumptions!$B$58+I5*Assumptions!$B$59)</f>
        <v/>
      </c>
      <c r="J7" s="13">
        <f>-(J6*Assumptions!$B$58+J5*Assumptions!$B$59)</f>
        <v/>
      </c>
      <c r="K7" s="13">
        <f>-(K6*Assumptions!$B$58+K5*Assumptions!$B$59)</f>
        <v/>
      </c>
      <c r="L7" s="13">
        <f>-(L6*Assumptions!$B$58+L5*Assumptions!$B$59)</f>
        <v/>
      </c>
      <c r="M7" s="13">
        <f>-(M6*Assumptions!$B$58+M5*Assumptions!$B$59)</f>
        <v/>
      </c>
      <c r="N7" s="13">
        <f>-(N6*Assumptions!$B$58+N5*Assumptions!$B$59)</f>
        <v/>
      </c>
      <c r="O7" s="13">
        <f>-(O6*Assumptions!$B$58+O5*Assumptions!$B$59)</f>
        <v/>
      </c>
      <c r="P7" s="13">
        <f>-(P6*Assumptions!$B$58+P5*Assumptions!$B$59)</f>
        <v/>
      </c>
      <c r="Q7" s="13">
        <f>-(Q6*Assumptions!$B$58+Q5*Assumptions!$B$59)</f>
        <v/>
      </c>
      <c r="R7" s="13">
        <f>-(R6*Assumptions!$B$58+R5*Assumptions!$B$59)</f>
        <v/>
      </c>
      <c r="S7" s="13">
        <f>-(S6*Assumptions!$B$58+S5*Assumptions!$B$59)</f>
        <v/>
      </c>
      <c r="T7" s="13">
        <f>-(T6*Assumptions!$B$58+T5*Assumptions!$B$59)</f>
        <v/>
      </c>
      <c r="U7" s="13">
        <f>-(U6*Assumptions!$B$58+U5*Assumptions!$B$59)</f>
        <v/>
      </c>
      <c r="V7" s="13">
        <f>-(V6*Assumptions!$B$58+V5*Assumptions!$B$59)</f>
        <v/>
      </c>
      <c r="W7" s="13">
        <f>-(W6*Assumptions!$B$58+W5*Assumptions!$B$59)</f>
        <v/>
      </c>
      <c r="X7" s="13">
        <f>-(X6*Assumptions!$B$58+X5*Assumptions!$B$59)</f>
        <v/>
      </c>
      <c r="Y7" s="13">
        <f>-(Y6*Assumptions!$B$58+Y5*Assumptions!$B$59)</f>
        <v/>
      </c>
    </row>
    <row r="8">
      <c r="A8" s="10" t="inlineStr">
        <is>
          <t>Net revenue</t>
        </is>
      </c>
      <c r="B8" s="13">
        <f>B6+B7</f>
        <v/>
      </c>
      <c r="C8" s="13">
        <f>C6+C7</f>
        <v/>
      </c>
      <c r="D8" s="13">
        <f>D6+D7</f>
        <v/>
      </c>
      <c r="E8" s="13">
        <f>E6+E7</f>
        <v/>
      </c>
      <c r="F8" s="13">
        <f>F6+F7</f>
        <v/>
      </c>
      <c r="G8" s="13">
        <f>G6+G7</f>
        <v/>
      </c>
      <c r="H8" s="13">
        <f>H6+H7</f>
        <v/>
      </c>
      <c r="I8" s="13">
        <f>I6+I7</f>
        <v/>
      </c>
      <c r="J8" s="13">
        <f>J6+J7</f>
        <v/>
      </c>
      <c r="K8" s="13">
        <f>K6+K7</f>
        <v/>
      </c>
      <c r="L8" s="13">
        <f>L6+L7</f>
        <v/>
      </c>
      <c r="M8" s="13">
        <f>M6+M7</f>
        <v/>
      </c>
      <c r="N8" s="13">
        <f>N6+N7</f>
        <v/>
      </c>
      <c r="O8" s="13">
        <f>O6+O7</f>
        <v/>
      </c>
      <c r="P8" s="13">
        <f>P6+P7</f>
        <v/>
      </c>
      <c r="Q8" s="13">
        <f>Q6+Q7</f>
        <v/>
      </c>
      <c r="R8" s="13">
        <f>R6+R7</f>
        <v/>
      </c>
      <c r="S8" s="13">
        <f>S6+S7</f>
        <v/>
      </c>
      <c r="T8" s="13">
        <f>T6+T7</f>
        <v/>
      </c>
      <c r="U8" s="13">
        <f>U6+U7</f>
        <v/>
      </c>
      <c r="V8" s="13">
        <f>V6+V7</f>
        <v/>
      </c>
      <c r="W8" s="13">
        <f>W6+W7</f>
        <v/>
      </c>
      <c r="X8" s="13">
        <f>X6+X7</f>
        <v/>
      </c>
      <c r="Y8" s="13">
        <f>Y6+Y7</f>
        <v/>
      </c>
    </row>
    <row r="9">
      <c r="A9" s="16" t="inlineStr">
        <is>
          <t>COGS — infra + APIs</t>
        </is>
      </c>
      <c r="B9" s="13">
        <f>-(SUM(Costs!$C$6:$C$12)+SUM(Costs!$C$14:$C$19))</f>
        <v/>
      </c>
      <c r="C9" s="13">
        <f>-(SUM(Costs!$C$6:$C$12)+SUM(Costs!$C$14:$C$19))</f>
        <v/>
      </c>
      <c r="D9" s="13">
        <f>-(SUM(Costs!$C$6:$C$12)+SUM(Costs!$C$14:$C$19))</f>
        <v/>
      </c>
      <c r="E9" s="13">
        <f>-(SUM(Costs!$C$6:$C$12)+SUM(Costs!$C$14:$C$19))</f>
        <v/>
      </c>
      <c r="F9" s="13">
        <f>-(SUM(Costs!$C$6:$C$12)+SUM(Costs!$C$14:$C$19))</f>
        <v/>
      </c>
      <c r="G9" s="13">
        <f>-(SUM(Costs!$C$6:$C$12)+SUM(Costs!$C$14:$C$19))</f>
        <v/>
      </c>
      <c r="H9" s="13">
        <f>-(SUM(Costs!$C$6:$C$12)+SUM(Costs!$C$14:$C$19))</f>
        <v/>
      </c>
      <c r="I9" s="13">
        <f>-(SUM(Costs!$C$6:$C$12)+SUM(Costs!$C$14:$C$19))</f>
        <v/>
      </c>
      <c r="J9" s="13">
        <f>-(SUM(Costs!$C$6:$C$12)+SUM(Costs!$C$14:$C$19))</f>
        <v/>
      </c>
      <c r="K9" s="13">
        <f>-(SUM(Costs!$C$6:$C$12)+SUM(Costs!$C$14:$C$19))</f>
        <v/>
      </c>
      <c r="L9" s="13">
        <f>-(SUM(Costs!$C$6:$C$12)+SUM(Costs!$C$14:$C$19))</f>
        <v/>
      </c>
      <c r="M9" s="13">
        <f>-(SUM(Costs!$C$6:$C$12)+SUM(Costs!$C$14:$C$19))</f>
        <v/>
      </c>
      <c r="N9" s="13">
        <f>-(SUM(Costs!$C$6:$C$12)+SUM(Costs!$C$14:$C$19))</f>
        <v/>
      </c>
      <c r="O9" s="13">
        <f>-(SUM(Costs!$C$6:$C$12)+SUM(Costs!$C$14:$C$19))</f>
        <v/>
      </c>
      <c r="P9" s="13">
        <f>-(SUM(Costs!$C$6:$C$12)+SUM(Costs!$C$14:$C$19))</f>
        <v/>
      </c>
      <c r="Q9" s="13">
        <f>-(SUM(Costs!$C$6:$C$12)+SUM(Costs!$C$14:$C$19))</f>
        <v/>
      </c>
      <c r="R9" s="13">
        <f>-(SUM(Costs!$C$6:$C$12)+SUM(Costs!$C$14:$C$19))</f>
        <v/>
      </c>
      <c r="S9" s="13">
        <f>-(SUM(Costs!$C$6:$C$12)+SUM(Costs!$C$14:$C$19))</f>
        <v/>
      </c>
      <c r="T9" s="13">
        <f>-(SUM(Costs!$C$6:$C$12)+SUM(Costs!$C$14:$C$19))</f>
        <v/>
      </c>
      <c r="U9" s="13">
        <f>-(SUM(Costs!$C$6:$C$12)+SUM(Costs!$C$14:$C$19))</f>
        <v/>
      </c>
      <c r="V9" s="13">
        <f>-(SUM(Costs!$C$6:$C$12)+SUM(Costs!$C$14:$C$19))</f>
        <v/>
      </c>
      <c r="W9" s="13">
        <f>-(SUM(Costs!$C$6:$C$12)+SUM(Costs!$C$14:$C$19))</f>
        <v/>
      </c>
      <c r="X9" s="13">
        <f>-(SUM(Costs!$C$6:$C$12)+SUM(Costs!$C$14:$C$19))</f>
        <v/>
      </c>
      <c r="Y9" s="13">
        <f>-(SUM(Costs!$C$6:$C$12)+SUM(Costs!$C$14:$C$19))</f>
        <v/>
      </c>
    </row>
    <row r="10">
      <c r="A10" s="10" t="inlineStr">
        <is>
          <t>Gross profit</t>
        </is>
      </c>
      <c r="B10" s="13">
        <f>B8+B9</f>
        <v/>
      </c>
      <c r="C10" s="13">
        <f>C8+C9</f>
        <v/>
      </c>
      <c r="D10" s="13">
        <f>D8+D9</f>
        <v/>
      </c>
      <c r="E10" s="13">
        <f>E8+E9</f>
        <v/>
      </c>
      <c r="F10" s="13">
        <f>F8+F9</f>
        <v/>
      </c>
      <c r="G10" s="13">
        <f>G8+G9</f>
        <v/>
      </c>
      <c r="H10" s="13">
        <f>H8+H9</f>
        <v/>
      </c>
      <c r="I10" s="13">
        <f>I8+I9</f>
        <v/>
      </c>
      <c r="J10" s="13">
        <f>J8+J9</f>
        <v/>
      </c>
      <c r="K10" s="13">
        <f>K8+K9</f>
        <v/>
      </c>
      <c r="L10" s="13">
        <f>L8+L9</f>
        <v/>
      </c>
      <c r="M10" s="13">
        <f>M8+M9</f>
        <v/>
      </c>
      <c r="N10" s="13">
        <f>N8+N9</f>
        <v/>
      </c>
      <c r="O10" s="13">
        <f>O8+O9</f>
        <v/>
      </c>
      <c r="P10" s="13">
        <f>P8+P9</f>
        <v/>
      </c>
      <c r="Q10" s="13">
        <f>Q8+Q9</f>
        <v/>
      </c>
      <c r="R10" s="13">
        <f>R8+R9</f>
        <v/>
      </c>
      <c r="S10" s="13">
        <f>S8+S9</f>
        <v/>
      </c>
      <c r="T10" s="13">
        <f>T8+T9</f>
        <v/>
      </c>
      <c r="U10" s="13">
        <f>U8+U9</f>
        <v/>
      </c>
      <c r="V10" s="13">
        <f>V8+V9</f>
        <v/>
      </c>
      <c r="W10" s="13">
        <f>W8+W9</f>
        <v/>
      </c>
      <c r="X10" s="13">
        <f>X8+X9</f>
        <v/>
      </c>
      <c r="Y10" s="13">
        <f>Y8+Y9</f>
        <v/>
      </c>
    </row>
    <row r="11">
      <c r="A11" s="16" t="inlineStr">
        <is>
          <t>Gross margin %</t>
        </is>
      </c>
      <c r="B11" s="17">
        <f>IF(B6=0,0,B10/B6)</f>
        <v/>
      </c>
      <c r="C11" s="17">
        <f>IF(C6=0,0,C10/C6)</f>
        <v/>
      </c>
      <c r="D11" s="17">
        <f>IF(D6=0,0,D10/D6)</f>
        <v/>
      </c>
      <c r="E11" s="17">
        <f>IF(E6=0,0,E10/E6)</f>
        <v/>
      </c>
      <c r="F11" s="17">
        <f>IF(F6=0,0,F10/F6)</f>
        <v/>
      </c>
      <c r="G11" s="17">
        <f>IF(G6=0,0,G10/G6)</f>
        <v/>
      </c>
      <c r="H11" s="17">
        <f>IF(H6=0,0,H10/H6)</f>
        <v/>
      </c>
      <c r="I11" s="17">
        <f>IF(I6=0,0,I10/I6)</f>
        <v/>
      </c>
      <c r="J11" s="17">
        <f>IF(J6=0,0,J10/J6)</f>
        <v/>
      </c>
      <c r="K11" s="17">
        <f>IF(K6=0,0,K10/K6)</f>
        <v/>
      </c>
      <c r="L11" s="17">
        <f>IF(L6=0,0,L10/L6)</f>
        <v/>
      </c>
      <c r="M11" s="17">
        <f>IF(M6=0,0,M10/M6)</f>
        <v/>
      </c>
      <c r="N11" s="17">
        <f>IF(N6=0,0,N10/N6)</f>
        <v/>
      </c>
      <c r="O11" s="17">
        <f>IF(O6=0,0,O10/O6)</f>
        <v/>
      </c>
      <c r="P11" s="17">
        <f>IF(P6=0,0,P10/P6)</f>
        <v/>
      </c>
      <c r="Q11" s="17">
        <f>IF(Q6=0,0,Q10/Q6)</f>
        <v/>
      </c>
      <c r="R11" s="17">
        <f>IF(R6=0,0,R10/R6)</f>
        <v/>
      </c>
      <c r="S11" s="17">
        <f>IF(S6=0,0,S10/S6)</f>
        <v/>
      </c>
      <c r="T11" s="17">
        <f>IF(T6=0,0,T10/T6)</f>
        <v/>
      </c>
      <c r="U11" s="17">
        <f>IF(U6=0,0,U10/U6)</f>
        <v/>
      </c>
      <c r="V11" s="17">
        <f>IF(V6=0,0,V10/V6)</f>
        <v/>
      </c>
      <c r="W11" s="17">
        <f>IF(W6=0,0,W10/W6)</f>
        <v/>
      </c>
      <c r="X11" s="17">
        <f>IF(X6=0,0,X10/X6)</f>
        <v/>
      </c>
      <c r="Y11" s="17">
        <f>IF(Y6=0,0,Y10/Y6)</f>
        <v/>
      </c>
    </row>
    <row r="12">
      <c r="A12" s="16" t="inlineStr">
        <is>
          <t>Opex — people &amp; professional</t>
        </is>
      </c>
      <c r="B12" s="13">
        <f>-SUM(Costs!$C$27:$C$32)</f>
        <v/>
      </c>
      <c r="C12" s="13">
        <f>-SUM(Costs!$C$27:$C$32)</f>
        <v/>
      </c>
      <c r="D12" s="13">
        <f>-SUM(Costs!$C$27:$C$32)</f>
        <v/>
      </c>
      <c r="E12" s="13">
        <f>-SUM(Costs!$C$27:$C$32)</f>
        <v/>
      </c>
      <c r="F12" s="13">
        <f>-SUM(Costs!$C$27:$C$32)</f>
        <v/>
      </c>
      <c r="G12" s="13">
        <f>-SUM(Costs!$C$27:$C$32)</f>
        <v/>
      </c>
      <c r="H12" s="13">
        <f>-SUM(Costs!$C$27:$C$32)</f>
        <v/>
      </c>
      <c r="I12" s="13">
        <f>-SUM(Costs!$C$27:$C$32)</f>
        <v/>
      </c>
      <c r="J12" s="13">
        <f>-SUM(Costs!$C$27:$C$32)</f>
        <v/>
      </c>
      <c r="K12" s="13">
        <f>-SUM(Costs!$C$27:$C$32)</f>
        <v/>
      </c>
      <c r="L12" s="13">
        <f>-SUM(Costs!$C$27:$C$32)</f>
        <v/>
      </c>
      <c r="M12" s="13">
        <f>-SUM(Costs!$C$27:$C$32)</f>
        <v/>
      </c>
      <c r="N12" s="13">
        <f>-SUM(Costs!$C$27:$C$32)</f>
        <v/>
      </c>
      <c r="O12" s="13">
        <f>-SUM(Costs!$C$27:$C$32)</f>
        <v/>
      </c>
      <c r="P12" s="13">
        <f>-SUM(Costs!$C$27:$C$32)</f>
        <v/>
      </c>
      <c r="Q12" s="13">
        <f>-SUM(Costs!$C$27:$C$32)</f>
        <v/>
      </c>
      <c r="R12" s="13">
        <f>-SUM(Costs!$C$27:$C$32)</f>
        <v/>
      </c>
      <c r="S12" s="13">
        <f>-SUM(Costs!$C$27:$C$32)</f>
        <v/>
      </c>
      <c r="T12" s="13">
        <f>-SUM(Costs!$C$27:$C$32)</f>
        <v/>
      </c>
      <c r="U12" s="13">
        <f>-SUM(Costs!$C$27:$C$32)</f>
        <v/>
      </c>
      <c r="V12" s="13">
        <f>-SUM(Costs!$C$27:$C$32)</f>
        <v/>
      </c>
      <c r="W12" s="13">
        <f>-SUM(Costs!$C$27:$C$32)</f>
        <v/>
      </c>
      <c r="X12" s="13">
        <f>-SUM(Costs!$C$27:$C$32)</f>
        <v/>
      </c>
      <c r="Y12" s="13">
        <f>-SUM(Costs!$C$27:$C$32)</f>
        <v/>
      </c>
    </row>
    <row r="13">
      <c r="A13" s="16" t="inlineStr">
        <is>
          <t>Opex — SaaS &amp; tooling</t>
        </is>
      </c>
      <c r="B13" s="13">
        <f>-SUM(Costs!$C$21:$C$25)</f>
        <v/>
      </c>
      <c r="C13" s="13">
        <f>-SUM(Costs!$C$21:$C$25)</f>
        <v/>
      </c>
      <c r="D13" s="13">
        <f>-SUM(Costs!$C$21:$C$25)</f>
        <v/>
      </c>
      <c r="E13" s="13">
        <f>-SUM(Costs!$C$21:$C$25)</f>
        <v/>
      </c>
      <c r="F13" s="13">
        <f>-SUM(Costs!$C$21:$C$25)</f>
        <v/>
      </c>
      <c r="G13" s="13">
        <f>-SUM(Costs!$C$21:$C$25)</f>
        <v/>
      </c>
      <c r="H13" s="13">
        <f>-SUM(Costs!$C$21:$C$25)</f>
        <v/>
      </c>
      <c r="I13" s="13">
        <f>-SUM(Costs!$C$21:$C$25)</f>
        <v/>
      </c>
      <c r="J13" s="13">
        <f>-SUM(Costs!$C$21:$C$25)</f>
        <v/>
      </c>
      <c r="K13" s="13">
        <f>-SUM(Costs!$C$21:$C$25)</f>
        <v/>
      </c>
      <c r="L13" s="13">
        <f>-SUM(Costs!$C$21:$C$25)</f>
        <v/>
      </c>
      <c r="M13" s="13">
        <f>-SUM(Costs!$C$21:$C$25)</f>
        <v/>
      </c>
      <c r="N13" s="13">
        <f>-SUM(Costs!$C$21:$C$25)</f>
        <v/>
      </c>
      <c r="O13" s="13">
        <f>-SUM(Costs!$C$21:$C$25)</f>
        <v/>
      </c>
      <c r="P13" s="13">
        <f>-SUM(Costs!$C$21:$C$25)</f>
        <v/>
      </c>
      <c r="Q13" s="13">
        <f>-SUM(Costs!$C$21:$C$25)</f>
        <v/>
      </c>
      <c r="R13" s="13">
        <f>-SUM(Costs!$C$21:$C$25)</f>
        <v/>
      </c>
      <c r="S13" s="13">
        <f>-SUM(Costs!$C$21:$C$25)</f>
        <v/>
      </c>
      <c r="T13" s="13">
        <f>-SUM(Costs!$C$21:$C$25)</f>
        <v/>
      </c>
      <c r="U13" s="13">
        <f>-SUM(Costs!$C$21:$C$25)</f>
        <v/>
      </c>
      <c r="V13" s="13">
        <f>-SUM(Costs!$C$21:$C$25)</f>
        <v/>
      </c>
      <c r="W13" s="13">
        <f>-SUM(Costs!$C$21:$C$25)</f>
        <v/>
      </c>
      <c r="X13" s="13">
        <f>-SUM(Costs!$C$21:$C$25)</f>
        <v/>
      </c>
      <c r="Y13" s="13">
        <f>-SUM(Costs!$C$21:$C$25)</f>
        <v/>
      </c>
    </row>
    <row r="14">
      <c r="A14" s="16" t="inlineStr">
        <is>
          <t>Opex — marketing</t>
        </is>
      </c>
      <c r="B14" s="13">
        <f>-Costs!$C$33</f>
        <v/>
      </c>
      <c r="C14" s="13">
        <f>-Costs!$C$33</f>
        <v/>
      </c>
      <c r="D14" s="13">
        <f>-Costs!$C$33</f>
        <v/>
      </c>
      <c r="E14" s="13">
        <f>-Costs!$C$33</f>
        <v/>
      </c>
      <c r="F14" s="13">
        <f>-Costs!$C$33</f>
        <v/>
      </c>
      <c r="G14" s="13">
        <f>-Costs!$C$33</f>
        <v/>
      </c>
      <c r="H14" s="13">
        <f>-Costs!$C$33</f>
        <v/>
      </c>
      <c r="I14" s="13">
        <f>-Costs!$C$33</f>
        <v/>
      </c>
      <c r="J14" s="13">
        <f>-Costs!$C$33</f>
        <v/>
      </c>
      <c r="K14" s="13">
        <f>-Costs!$C$33</f>
        <v/>
      </c>
      <c r="L14" s="13">
        <f>-Costs!$C$33</f>
        <v/>
      </c>
      <c r="M14" s="13">
        <f>-Costs!$C$33</f>
        <v/>
      </c>
      <c r="N14" s="13">
        <f>-Costs!$C$33</f>
        <v/>
      </c>
      <c r="O14" s="13">
        <f>-Costs!$C$33</f>
        <v/>
      </c>
      <c r="P14" s="13">
        <f>-Costs!$C$33</f>
        <v/>
      </c>
      <c r="Q14" s="13">
        <f>-Costs!$C$33</f>
        <v/>
      </c>
      <c r="R14" s="13">
        <f>-Costs!$C$33</f>
        <v/>
      </c>
      <c r="S14" s="13">
        <f>-Costs!$C$33</f>
        <v/>
      </c>
      <c r="T14" s="13">
        <f>-Costs!$C$33</f>
        <v/>
      </c>
      <c r="U14" s="13">
        <f>-Costs!$C$33</f>
        <v/>
      </c>
      <c r="V14" s="13">
        <f>-Costs!$C$33</f>
        <v/>
      </c>
      <c r="W14" s="13">
        <f>-Costs!$C$33</f>
        <v/>
      </c>
      <c r="X14" s="13">
        <f>-Costs!$C$33</f>
        <v/>
      </c>
      <c r="Y14" s="13">
        <f>-Costs!$C$33</f>
        <v/>
      </c>
    </row>
    <row r="15">
      <c r="A15" s="10" t="inlineStr">
        <is>
          <t>Total opex</t>
        </is>
      </c>
      <c r="B15" s="13">
        <f>B12+B13+B14</f>
        <v/>
      </c>
      <c r="C15" s="13">
        <f>C12+C13+C14</f>
        <v/>
      </c>
      <c r="D15" s="13">
        <f>D12+D13+D14</f>
        <v/>
      </c>
      <c r="E15" s="13">
        <f>E12+E13+E14</f>
        <v/>
      </c>
      <c r="F15" s="13">
        <f>F12+F13+F14</f>
        <v/>
      </c>
      <c r="G15" s="13">
        <f>G12+G13+G14</f>
        <v/>
      </c>
      <c r="H15" s="13">
        <f>H12+H13+H14</f>
        <v/>
      </c>
      <c r="I15" s="13">
        <f>I12+I13+I14</f>
        <v/>
      </c>
      <c r="J15" s="13">
        <f>J12+J13+J14</f>
        <v/>
      </c>
      <c r="K15" s="13">
        <f>K12+K13+K14</f>
        <v/>
      </c>
      <c r="L15" s="13">
        <f>L12+L13+L14</f>
        <v/>
      </c>
      <c r="M15" s="13">
        <f>M12+M13+M14</f>
        <v/>
      </c>
      <c r="N15" s="13">
        <f>N12+N13+N14</f>
        <v/>
      </c>
      <c r="O15" s="13">
        <f>O12+O13+O14</f>
        <v/>
      </c>
      <c r="P15" s="13">
        <f>P12+P13+P14</f>
        <v/>
      </c>
      <c r="Q15" s="13">
        <f>Q12+Q13+Q14</f>
        <v/>
      </c>
      <c r="R15" s="13">
        <f>R12+R13+R14</f>
        <v/>
      </c>
      <c r="S15" s="13">
        <f>S12+S13+S14</f>
        <v/>
      </c>
      <c r="T15" s="13">
        <f>T12+T13+T14</f>
        <v/>
      </c>
      <c r="U15" s="13">
        <f>U12+U13+U14</f>
        <v/>
      </c>
      <c r="V15" s="13">
        <f>V12+V13+V14</f>
        <v/>
      </c>
      <c r="W15" s="13">
        <f>W12+W13+W14</f>
        <v/>
      </c>
      <c r="X15" s="13">
        <f>X12+X13+X14</f>
        <v/>
      </c>
      <c r="Y15" s="13">
        <f>Y12+Y13+Y14</f>
        <v/>
      </c>
    </row>
    <row r="16">
      <c r="A16" s="10" t="inlineStr">
        <is>
          <t>EBITDA</t>
        </is>
      </c>
      <c r="B16" s="13">
        <f>B10+B15</f>
        <v/>
      </c>
      <c r="C16" s="13">
        <f>C10+C15</f>
        <v/>
      </c>
      <c r="D16" s="13">
        <f>D10+D15</f>
        <v/>
      </c>
      <c r="E16" s="13">
        <f>E10+E15</f>
        <v/>
      </c>
      <c r="F16" s="13">
        <f>F10+F15</f>
        <v/>
      </c>
      <c r="G16" s="13">
        <f>G10+G15</f>
        <v/>
      </c>
      <c r="H16" s="13">
        <f>H10+H15</f>
        <v/>
      </c>
      <c r="I16" s="13">
        <f>I10+I15</f>
        <v/>
      </c>
      <c r="J16" s="13">
        <f>J10+J15</f>
        <v/>
      </c>
      <c r="K16" s="13">
        <f>K10+K15</f>
        <v/>
      </c>
      <c r="L16" s="13">
        <f>L10+L15</f>
        <v/>
      </c>
      <c r="M16" s="13">
        <f>M10+M15</f>
        <v/>
      </c>
      <c r="N16" s="13">
        <f>N10+N15</f>
        <v/>
      </c>
      <c r="O16" s="13">
        <f>O10+O15</f>
        <v/>
      </c>
      <c r="P16" s="13">
        <f>P10+P15</f>
        <v/>
      </c>
      <c r="Q16" s="13">
        <f>Q10+Q15</f>
        <v/>
      </c>
      <c r="R16" s="13">
        <f>R10+R15</f>
        <v/>
      </c>
      <c r="S16" s="13">
        <f>S10+S15</f>
        <v/>
      </c>
      <c r="T16" s="13">
        <f>T10+T15</f>
        <v/>
      </c>
      <c r="U16" s="13">
        <f>U10+U15</f>
        <v/>
      </c>
      <c r="V16" s="13">
        <f>V10+V15</f>
        <v/>
      </c>
      <c r="W16" s="13">
        <f>W10+W15</f>
        <v/>
      </c>
      <c r="X16" s="13">
        <f>X10+X15</f>
        <v/>
      </c>
      <c r="Y16" s="13">
        <f>Y10+Y15</f>
        <v/>
      </c>
    </row>
    <row r="17">
      <c r="A17" s="16" t="inlineStr">
        <is>
          <t>One-time costs</t>
        </is>
      </c>
      <c r="B17" s="13">
        <f>-Costs!$B$43</f>
        <v/>
      </c>
      <c r="C17" s="13">
        <f>0</f>
        <v/>
      </c>
      <c r="D17" s="13">
        <f>0</f>
        <v/>
      </c>
      <c r="E17" s="13">
        <f>0</f>
        <v/>
      </c>
      <c r="F17" s="13">
        <f>0</f>
        <v/>
      </c>
      <c r="G17" s="13">
        <f>0</f>
        <v/>
      </c>
      <c r="H17" s="13">
        <f>0</f>
        <v/>
      </c>
      <c r="I17" s="13">
        <f>0</f>
        <v/>
      </c>
      <c r="J17" s="13">
        <f>0</f>
        <v/>
      </c>
      <c r="K17" s="13">
        <f>0</f>
        <v/>
      </c>
      <c r="L17" s="13">
        <f>0</f>
        <v/>
      </c>
      <c r="M17" s="13">
        <f>0</f>
        <v/>
      </c>
      <c r="N17" s="13">
        <f>0</f>
        <v/>
      </c>
      <c r="O17" s="13">
        <f>0</f>
        <v/>
      </c>
      <c r="P17" s="13">
        <f>0</f>
        <v/>
      </c>
      <c r="Q17" s="13">
        <f>0</f>
        <v/>
      </c>
      <c r="R17" s="13">
        <f>0</f>
        <v/>
      </c>
      <c r="S17" s="13">
        <f>0</f>
        <v/>
      </c>
      <c r="T17" s="13">
        <f>0</f>
        <v/>
      </c>
      <c r="U17" s="13">
        <f>0</f>
        <v/>
      </c>
      <c r="V17" s="13">
        <f>0</f>
        <v/>
      </c>
      <c r="W17" s="13">
        <f>0</f>
        <v/>
      </c>
      <c r="X17" s="13">
        <f>0</f>
        <v/>
      </c>
      <c r="Y17" s="13">
        <f>0</f>
        <v/>
      </c>
    </row>
    <row r="18">
      <c r="A18" s="10" t="inlineStr">
        <is>
          <t>Net cash flow</t>
        </is>
      </c>
      <c r="B18" s="13">
        <f>B16+B17</f>
        <v/>
      </c>
      <c r="C18" s="13">
        <f>C16+C17</f>
        <v/>
      </c>
      <c r="D18" s="13">
        <f>D16+D17</f>
        <v/>
      </c>
      <c r="E18" s="13">
        <f>E16+E17</f>
        <v/>
      </c>
      <c r="F18" s="13">
        <f>F16+F17</f>
        <v/>
      </c>
      <c r="G18" s="13">
        <f>G16+G17</f>
        <v/>
      </c>
      <c r="H18" s="13">
        <f>H16+H17</f>
        <v/>
      </c>
      <c r="I18" s="13">
        <f>I16+I17</f>
        <v/>
      </c>
      <c r="J18" s="13">
        <f>J16+J17</f>
        <v/>
      </c>
      <c r="K18" s="13">
        <f>K16+K17</f>
        <v/>
      </c>
      <c r="L18" s="13">
        <f>L16+L17</f>
        <v/>
      </c>
      <c r="M18" s="13">
        <f>M16+M17</f>
        <v/>
      </c>
      <c r="N18" s="13">
        <f>N16+N17</f>
        <v/>
      </c>
      <c r="O18" s="13">
        <f>O16+O17</f>
        <v/>
      </c>
      <c r="P18" s="13">
        <f>P16+P17</f>
        <v/>
      </c>
      <c r="Q18" s="13">
        <f>Q16+Q17</f>
        <v/>
      </c>
      <c r="R18" s="13">
        <f>R16+R17</f>
        <v/>
      </c>
      <c r="S18" s="13">
        <f>S16+S17</f>
        <v/>
      </c>
      <c r="T18" s="13">
        <f>T16+T17</f>
        <v/>
      </c>
      <c r="U18" s="13">
        <f>U16+U17</f>
        <v/>
      </c>
      <c r="V18" s="13">
        <f>V16+V17</f>
        <v/>
      </c>
      <c r="W18" s="13">
        <f>W16+W17</f>
        <v/>
      </c>
      <c r="X18" s="13">
        <f>X16+X17</f>
        <v/>
      </c>
      <c r="Y18" s="13">
        <f>Y16+Y17</f>
        <v/>
      </c>
    </row>
    <row r="19">
      <c r="A19" s="10" t="inlineStr">
        <is>
          <t>Cumulative cash</t>
        </is>
      </c>
      <c r="B19" s="18">
        <f>B18</f>
        <v/>
      </c>
      <c r="C19" s="18">
        <f>B19+C18</f>
        <v/>
      </c>
      <c r="D19" s="18">
        <f>C19+D18</f>
        <v/>
      </c>
      <c r="E19" s="18">
        <f>D19+E18</f>
        <v/>
      </c>
      <c r="F19" s="18">
        <f>E19+F18</f>
        <v/>
      </c>
      <c r="G19" s="18">
        <f>F19+G18</f>
        <v/>
      </c>
      <c r="H19" s="18">
        <f>G19+H18</f>
        <v/>
      </c>
      <c r="I19" s="18">
        <f>H19+I18</f>
        <v/>
      </c>
      <c r="J19" s="18">
        <f>I19+J18</f>
        <v/>
      </c>
      <c r="K19" s="18">
        <f>J19+K18</f>
        <v/>
      </c>
      <c r="L19" s="18">
        <f>K19+L18</f>
        <v/>
      </c>
      <c r="M19" s="18">
        <f>L19+M18</f>
        <v/>
      </c>
      <c r="N19" s="18">
        <f>M19+N18</f>
        <v/>
      </c>
      <c r="O19" s="18">
        <f>N19+O18</f>
        <v/>
      </c>
      <c r="P19" s="18">
        <f>O19+P18</f>
        <v/>
      </c>
      <c r="Q19" s="18">
        <f>P19+Q18</f>
        <v/>
      </c>
      <c r="R19" s="18">
        <f>Q19+R18</f>
        <v/>
      </c>
      <c r="S19" s="18">
        <f>R19+S18</f>
        <v/>
      </c>
      <c r="T19" s="18">
        <f>S19+T18</f>
        <v/>
      </c>
      <c r="U19" s="18">
        <f>T19+U18</f>
        <v/>
      </c>
      <c r="V19" s="18">
        <f>U19+V18</f>
        <v/>
      </c>
      <c r="W19" s="18">
        <f>V19+W18</f>
        <v/>
      </c>
      <c r="X19" s="18">
        <f>W19+X18</f>
        <v/>
      </c>
      <c r="Y19" s="18">
        <f>X19+Y18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60" customWidth="1" min="3" max="3"/>
  </cols>
  <sheetData>
    <row r="1">
      <c r="A1" s="1" t="inlineStr">
        <is>
          <t>How much to raise</t>
        </is>
      </c>
    </row>
    <row r="3">
      <c r="A3" s="10" t="inlineStr">
        <is>
          <t>Peak cumulative cash need (Funded × Base, 24 mo)</t>
        </is>
      </c>
      <c r="B3" s="12">
        <f>-MIN('P&amp;L (Accounting)'!B19:Y19)</f>
        <v/>
      </c>
      <c r="C3" t="inlineStr">
        <is>
          <t>most-negative cumulative cash on the P&amp;L tab</t>
        </is>
      </c>
    </row>
    <row r="4">
      <c r="A4" s="10" t="inlineStr">
        <is>
          <t>Buffer</t>
        </is>
      </c>
      <c r="B4" s="12">
        <f>B3*Assumptions!$B$69</f>
        <v/>
      </c>
      <c r="C4" t="inlineStr">
        <is>
          <t>25% cushion (edit on Assumptions)</t>
        </is>
      </c>
    </row>
    <row r="5">
      <c r="A5" s="2" t="inlineStr">
        <is>
          <t>RECOMMENDED RAISE (pre-seed)</t>
        </is>
      </c>
      <c r="B5" s="14">
        <f>B3+B4</f>
        <v/>
      </c>
      <c r="C5" t="inlineStr">
        <is>
          <t>peak need + buffer, rounded up when pitching</t>
        </is>
      </c>
    </row>
    <row r="7">
      <c r="A7" s="3" t="inlineStr">
        <is>
          <t>Sensitivity — cash needed at month N (before buffer)</t>
        </is>
      </c>
      <c r="B7" s="4" t="n"/>
      <c r="C7" s="4" t="n"/>
    </row>
    <row r="8">
      <c r="A8" s="5" t="inlineStr">
        <is>
          <t>Horizon</t>
        </is>
      </c>
      <c r="B8" s="5" t="inlineStr">
        <is>
          <t>Cash need $</t>
        </is>
      </c>
      <c r="C8" s="5" t="inlineStr">
        <is>
          <t>Note</t>
        </is>
      </c>
    </row>
    <row r="9">
      <c r="A9" t="inlineStr">
        <is>
          <t>12 months</t>
        </is>
      </c>
      <c r="B9" s="13">
        <f>-MIN('P&amp;L (Accounting)'!B19:M19)</f>
        <v/>
      </c>
      <c r="C9" t="inlineStr">
        <is>
          <t>12-month runway</t>
        </is>
      </c>
    </row>
    <row r="10">
      <c r="A10" t="inlineStr">
        <is>
          <t>18 months</t>
        </is>
      </c>
      <c r="B10" s="13">
        <f>-MIN('P&amp;L (Accounting)'!B19:S19)</f>
        <v/>
      </c>
      <c r="C10" t="inlineStr">
        <is>
          <t>18-month runway (typical pre-seed ask)</t>
        </is>
      </c>
    </row>
    <row r="11">
      <c r="A11" t="inlineStr">
        <is>
          <t>24 months</t>
        </is>
      </c>
      <c r="B11" s="13">
        <f>-MIN('P&amp;L (Accounting)'!B19:Y19)</f>
        <v/>
      </c>
      <c r="C11" t="inlineStr">
        <is>
          <t>24-month runway</t>
        </is>
      </c>
    </row>
    <row r="13">
      <c r="A13" s="3" t="inlineStr">
        <is>
          <t>Bootstrap alternative (no raise)</t>
        </is>
      </c>
      <c r="B13" s="4" t="n"/>
      <c r="C13" s="4" t="n"/>
    </row>
    <row r="14">
      <c r="A14" t="inlineStr">
        <is>
          <t>Bootstrap monthly cost</t>
        </is>
      </c>
      <c r="B14" s="13">
        <f>Costs!$B$35</f>
        <v/>
      </c>
      <c r="C14" t="inlineStr">
        <is>
          <t>today's trimmed fleet on AWS, founder unpaid</t>
        </is>
      </c>
    </row>
    <row r="15">
      <c r="A15" t="inlineStr">
        <is>
          <t>Bootstrap annual cost</t>
        </is>
      </c>
      <c r="B15" s="13">
        <f>Costs!$B$35*12</f>
        <v/>
      </c>
      <c r="C15" t="inlineStr">
        <is>
          <t>≈ what it costs to keep narve.ai alive for a year</t>
        </is>
      </c>
    </row>
    <row r="16">
      <c r="A16" t="inlineStr">
        <is>
          <t>Subscribers to break even (Bootstrap)</t>
        </is>
      </c>
      <c r="B16" s="13">
        <f>ROUNDUP(Costs!$B$35/(Assumptions!$B$57*(1-Assumptions!$B$58)-Assumptions!$B$59),0)</f>
        <v/>
      </c>
      <c r="C16" t="inlineStr">
        <is>
          <t>monthly cost ÷ net ARPU</t>
        </is>
      </c>
    </row>
    <row r="17">
      <c r="A17" t="inlineStr">
        <is>
          <t>Subscribers to break even (Funded)</t>
        </is>
      </c>
      <c r="B17" s="13">
        <f>ROUNDUP(Costs!$C$35/(Assumptions!$B$57*(1-Assumptions!$B$58)-Assumptions!$B$59),0)</f>
        <v/>
      </c>
      <c r="C17" t="inlineStr">
        <is>
          <t>covers salary + full opex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2026-07-02T10:29:07Z</dcterms:created>
  <dcterms:modified xsi:type="dcterms:W3CDTF">2026-07-02T10:29:07Z</dcterms:modified>
</cp:coreProperties>
</file>