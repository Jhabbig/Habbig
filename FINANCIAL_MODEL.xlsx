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sts" sheetId="3" state="visible" r:id="rId3"/>
    <sheet name="Projections" sheetId="4" state="visible" r:id="rId4"/>
    <sheet name="P&amp;L (Accounting)" sheetId="5" state="visible" r:id="rId5"/>
    <sheet name="Raise &amp; Runwa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  <sz val="11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3" borderId="1" pivotButton="0" quotePrefix="0" xfId="0"/>
    <xf numFmtId="4" fontId="0" fillId="0" borderId="0" pivotButton="0" quotePrefix="0" xfId="0"/>
    <xf numFmtId="4" fontId="0" fillId="4" borderId="0" pivotButton="0" quotePrefix="0" xfId="0"/>
    <xf numFmtId="164" fontId="0" fillId="4" borderId="0" pivotButton="0" quotePrefix="0" xfId="0"/>
    <xf numFmtId="3" fontId="0" fillId="4" borderId="0" pivotButton="0" quotePrefix="0" xfId="0"/>
    <xf numFmtId="0" fontId="3" fillId="0" borderId="0" pivotButton="0" quotePrefix="0" xfId="0"/>
    <xf numFmtId="4" fontId="3" fillId="5" borderId="0" pivotButton="0" quotePrefix="0" xfId="0"/>
    <xf numFmtId="164" fontId="0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3" fillId="5" borderId="0" pivotButton="0" quotePrefix="0" xfId="0"/>
    <xf numFmtId="0" fontId="3" fillId="3" borderId="0" pivotButton="0" quotePrefix="0" xfId="0"/>
    <xf numFmtId="0" fontId="4" fillId="0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narve.ai — Financial Model v2 (training-focused, no founder salary)</t>
        </is>
      </c>
    </row>
    <row r="2">
      <c r="A2" t="inlineStr">
        <is>
          <t>Built July 2, 2026. All prices researched against official/current sources (see Assumptions tab for URLs).</t>
        </is>
      </c>
    </row>
    <row r="3">
      <c r="A3" t="inlineStr">
        <is>
          <t>v2 changes: founder salary &amp; payroll removed; AWS GPU compute for training our own models is now the main cost line.</t>
        </is>
      </c>
    </row>
    <row r="4">
      <c r="A4" t="inlineStr"/>
    </row>
    <row r="5">
      <c r="A5" s="2" t="inlineStr">
        <is>
          <t>TABS</t>
        </is>
      </c>
    </row>
    <row r="6">
      <c r="A6" t="inlineStr">
        <is>
          <t>Assumptions — every researched price with source, incl. GPU instances. Edit yellow cells; everything recalculates.</t>
        </is>
      </c>
    </row>
    <row r="7">
      <c r="A7" t="inlineStr">
        <is>
          <t>Costs — monthly costs in 3 scenarios: Bootstrap (no training), ML fine-tune (main plan), ML scale training.</t>
        </is>
      </c>
    </row>
    <row r="8">
      <c r="A8" t="inlineStr">
        <is>
          <t>Projections — 24-month subscriber &amp; MRR model, 3 growth cases.</t>
        </is>
      </c>
    </row>
    <row r="9">
      <c r="A9" t="inlineStr">
        <is>
          <t>P&amp;L (Accounting) — monthly P&amp;L for ML fine-tune plan: revenue, Stripe, COGS, R&amp;D training line, opex, EBITDA, cash.</t>
        </is>
      </c>
    </row>
    <row r="10">
      <c r="A10" t="inlineStr">
        <is>
          <t>Raise &amp; Runway — peak cumulative cash need + buffer; sensitivity; scale-plan upper bound.</t>
        </is>
      </c>
    </row>
    <row r="11">
      <c r="A11" t="inlineStr"/>
    </row>
    <row r="12">
      <c r="A12" s="2" t="inlineStr">
        <is>
          <t>GPU PRICING NOTES (verified 2026-07-02, us-east-1, official AWS price list)</t>
        </is>
      </c>
    </row>
    <row r="13">
      <c r="A13" t="inlineStr">
        <is>
          <t>• Fine-tuning workhorse: g6e.xlarge (1× L40S 48 GB) $1.861/hr on-demand; ~37% off with 1-yr reserved; spot ~$0.93–1.47 but &gt;20% interruption rate (bad for long runs).</t>
        </is>
      </c>
    </row>
    <row r="14">
      <c r="A14" t="inlineStr">
        <is>
          <t>• Multi-GPU: g6e.12xlarge (4× L40S) $10.49/hr. A100 option: p4d.24xlarge (8× A100 40GB) $21.96/hr (post-2025 price cut).</t>
        </is>
      </c>
    </row>
    <row r="15">
      <c r="A15" t="inlineStr">
        <is>
          <t>• H100: p5.48xlarge (8× H100) $55.04/hr on-demand; EC2 Capacity Blocks $5.191/GPU-hr (= $41.53/hr for 8) after the July 1, 2026 ~20% hike — Capacity Block prices float with demand.</t>
        </is>
      </c>
    </row>
    <row r="16">
      <c r="A16" t="inlineStr">
        <is>
          <t>• Trainium: trn1.32xlarge $21.50/hr on-demand, spot ~$8.4/hr with &lt;5% interruption — the cheapest reliable big-training option if the stack can use Neuron.</t>
        </is>
      </c>
    </row>
    <row r="17">
      <c r="A17" t="inlineStr"/>
    </row>
    <row r="18">
      <c r="A18" s="2" t="inlineStr">
        <is>
          <t>KEY CAVEATS</t>
        </is>
      </c>
    </row>
    <row r="19">
      <c r="A19" t="inlineStr">
        <is>
          <t>• Revenue prices from gateway/config.json (weather $7.99, Market Edge $9.99, midterm $14.99 monthly).</t>
        </is>
      </c>
    </row>
    <row r="20">
      <c r="A20" t="inlineStr">
        <is>
          <t>• Signup is currently invite-token gated; projections assume open self-serve signup from month 1.</t>
        </is>
      </c>
    </row>
    <row r="21">
      <c r="A21" t="inlineStr">
        <is>
          <t>• Stripe total take = 2.9% + $0.30 per charge + 0.7% Billing fee.</t>
        </is>
      </c>
    </row>
    <row r="22">
      <c r="A22" t="inlineStr">
        <is>
          <t>• Open-Meteo commercial license (€29/mo) required to sell the weather product.</t>
        </is>
      </c>
    </row>
    <row r="23">
      <c r="A23" t="inlineStr">
        <is>
          <t>• GPU spot prices are volatile (±30% on p4d/p5); Capacity Block rates were raised ~15% Jan 2026 and ~20% July 2026 — re-check before committing.</t>
        </is>
      </c>
    </row>
    <row r="24">
      <c r="A24" t="inlineStr">
        <is>
          <t>• The IA/CTA regulatory memo one-time ($15k midpoint) is kept — still recommended before selling trading signals.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12" customWidth="1" min="3" max="3"/>
    <col width="26" customWidth="1" min="4" max="4"/>
    <col width="60" customWidth="1" min="5" max="5"/>
  </cols>
  <sheetData>
    <row r="1">
      <c r="A1" s="1" t="inlineStr">
        <is>
          <t>Assumptions — researched prices (as of 2026-07-02)</t>
        </is>
      </c>
    </row>
    <row r="3">
      <c r="A3" s="3" t="inlineStr">
        <is>
          <t>AWS — serving infrastructure (us-east-1)</t>
        </is>
      </c>
      <c r="B3" s="4" t="n"/>
      <c r="C3" s="4" t="n"/>
      <c r="D3" s="4" t="n"/>
      <c r="E3" s="4" t="n"/>
    </row>
    <row r="4">
      <c r="A4" s="5" t="inlineStr">
        <is>
          <t>Item</t>
        </is>
      </c>
      <c r="B4" s="5" t="inlineStr">
        <is>
          <t>Tier / plan</t>
        </is>
      </c>
      <c r="C4" s="5" t="inlineStr">
        <is>
          <t>Price $</t>
        </is>
      </c>
      <c r="D4" s="5" t="inlineStr">
        <is>
          <t>Unit</t>
        </is>
      </c>
      <c r="E4" s="5" t="inlineStr">
        <is>
          <t>Source</t>
        </is>
      </c>
    </row>
    <row r="5">
      <c r="A5" t="inlineStr">
        <is>
          <t>EC2 t3.large (2 vCPU / 8 GiB)</t>
        </is>
      </c>
      <c r="B5" t="inlineStr">
        <is>
          <t>On-demand</t>
        </is>
      </c>
      <c r="C5" s="6" t="n">
        <v>60.74</v>
      </c>
      <c r="D5" t="inlineStr">
        <is>
          <t>per month (730h)</t>
        </is>
      </c>
      <c r="E5" t="inlineStr">
        <is>
          <t>aws.amazon.com/ec2/pricing/on-demand/</t>
        </is>
      </c>
    </row>
    <row r="6">
      <c r="A6" t="inlineStr">
        <is>
          <t>EC2 t3.xlarge (4 vCPU / 16 GiB)</t>
        </is>
      </c>
      <c r="B6" t="inlineStr">
        <is>
          <t>1-yr no-upfront reserved</t>
        </is>
      </c>
      <c r="C6" s="6" t="n">
        <v>76.14</v>
      </c>
      <c r="D6" t="inlineStr">
        <is>
          <t>per month (730h)</t>
        </is>
      </c>
      <c r="E6" t="inlineStr">
        <is>
          <t>aws.amazon.com/ec2/pricing/reserved-instances/</t>
        </is>
      </c>
    </row>
    <row r="7">
      <c r="A7" t="inlineStr">
        <is>
          <t>EBS gp3 storage</t>
        </is>
      </c>
      <c r="B7" t="inlineStr">
        <is>
          <t>standard</t>
        </is>
      </c>
      <c r="C7" s="6" t="n">
        <v>0.08</v>
      </c>
      <c r="D7" t="inlineStr">
        <is>
          <t>per GB-month (3k IOPS incl.)</t>
        </is>
      </c>
      <c r="E7" t="inlineStr">
        <is>
          <t>aws.amazon.com/ebs/pricing/</t>
        </is>
      </c>
    </row>
    <row r="8">
      <c r="A8" t="inlineStr">
        <is>
          <t>EBS snapshots</t>
        </is>
      </c>
      <c r="B8" t="inlineStr">
        <is>
          <t>standard</t>
        </is>
      </c>
      <c r="C8" s="6" t="n">
        <v>0.05</v>
      </c>
      <c r="D8" t="inlineStr">
        <is>
          <t>per GB-month (incremental)</t>
        </is>
      </c>
      <c r="E8" t="inlineStr">
        <is>
          <t>aws.amazon.com/ebs/pricing/</t>
        </is>
      </c>
    </row>
    <row r="9">
      <c r="A9" t="inlineStr">
        <is>
          <t>S3 Standard</t>
        </is>
      </c>
      <c r="B9" t="inlineStr">
        <is>
          <t>first 50 TB</t>
        </is>
      </c>
      <c r="C9" s="6" t="n">
        <v>0.023</v>
      </c>
      <c r="D9" t="inlineStr">
        <is>
          <t>per GB-month</t>
        </is>
      </c>
      <c r="E9" t="inlineStr">
        <is>
          <t>aws.amazon.com/s3/pricing/</t>
        </is>
      </c>
    </row>
    <row r="10">
      <c r="A10" t="inlineStr">
        <is>
          <t>Data transfer out</t>
        </is>
      </c>
      <c r="B10" t="inlineStr">
        <is>
          <t>after 100 GB free</t>
        </is>
      </c>
      <c r="C10" s="6" t="n">
        <v>0.09</v>
      </c>
      <c r="D10" t="inlineStr">
        <is>
          <t>per GB (first 10 TB)</t>
        </is>
      </c>
      <c r="E10" t="inlineStr">
        <is>
          <t>aws.amazon.com/ec2/pricing/on-demand/</t>
        </is>
      </c>
    </row>
    <row r="11">
      <c r="A11" t="inlineStr">
        <is>
          <t>Amazon SES (transactional email)</t>
        </is>
      </c>
      <c r="B11" t="inlineStr">
        <is>
          <t>standard</t>
        </is>
      </c>
      <c r="C11" s="6" t="n">
        <v>0.1</v>
      </c>
      <c r="D11" t="inlineStr">
        <is>
          <t>per 1,000 emails</t>
        </is>
      </c>
      <c r="E11" t="inlineStr">
        <is>
          <t>aws.amazon.com/ses/pricing/</t>
        </is>
      </c>
    </row>
    <row r="13">
      <c r="A13" s="3" t="inlineStr">
        <is>
          <t>AWS — GPU training instances (us-east-1, verified from official price list 2026-07-02)</t>
        </is>
      </c>
      <c r="B13" s="4" t="n"/>
      <c r="C13" s="4" t="n"/>
      <c r="D13" s="4" t="n"/>
      <c r="E13" s="4" t="n"/>
    </row>
    <row r="14">
      <c r="A14" s="5" t="inlineStr">
        <is>
          <t>Item</t>
        </is>
      </c>
      <c r="B14" s="5" t="inlineStr">
        <is>
          <t>Tier / plan</t>
        </is>
      </c>
      <c r="C14" s="5" t="inlineStr">
        <is>
          <t>Price $</t>
        </is>
      </c>
      <c r="D14" s="5" t="inlineStr">
        <is>
          <t>Unit</t>
        </is>
      </c>
      <c r="E14" s="5" t="inlineStr">
        <is>
          <t>Source</t>
        </is>
      </c>
    </row>
    <row r="15">
      <c r="A15" t="inlineStr">
        <is>
          <t>g5.xlarge (1× A10G 24 GB)</t>
        </is>
      </c>
      <c r="B15" t="inlineStr">
        <is>
          <t>on-demand / spot</t>
        </is>
      </c>
      <c r="C15" s="6" t="n">
        <v>1.006</v>
      </c>
      <c r="D15" t="inlineStr">
        <is>
          <t>per hour (spot ~$0.44)</t>
        </is>
      </c>
      <c r="E15" t="inlineStr">
        <is>
          <t>pricing.us-east-1.amazonaws.com EC2 price list</t>
        </is>
      </c>
    </row>
    <row r="16">
      <c r="A16" t="inlineStr">
        <is>
          <t>g6.xlarge (1× L4 24 GB)</t>
        </is>
      </c>
      <c r="B16" t="inlineStr">
        <is>
          <t>on-demand / spot</t>
        </is>
      </c>
      <c r="C16" s="6" t="n">
        <v>0.8048</v>
      </c>
      <c r="D16" t="inlineStr">
        <is>
          <t>per hour (spot ~$0.41)</t>
        </is>
      </c>
      <c r="E16" t="inlineStr">
        <is>
          <t>pricing.us-east-1.amazonaws.com EC2 price list</t>
        </is>
      </c>
    </row>
    <row r="17">
      <c r="A17" t="inlineStr">
        <is>
          <t>g6e.xlarge (1× L40S 48 GB)</t>
        </is>
      </c>
      <c r="B17" t="inlineStr">
        <is>
          <t>on-demand / spot</t>
        </is>
      </c>
      <c r="C17" s="6" t="n">
        <v>1.861</v>
      </c>
      <c r="D17" t="inlineStr">
        <is>
          <t>per hour (spot ~$0.93–1.47, &gt;20% interruption)</t>
        </is>
      </c>
      <c r="E17" t="inlineStr">
        <is>
          <t>pricing.us-east-1.amazonaws.com EC2 price list</t>
        </is>
      </c>
    </row>
    <row r="18">
      <c r="A18" t="inlineStr">
        <is>
          <t>g6e.xlarge</t>
        </is>
      </c>
      <c r="B18" t="inlineStr">
        <is>
          <t>1-yr no-upfront reserved</t>
        </is>
      </c>
      <c r="C18" s="6" t="n">
        <v>1.1724</v>
      </c>
      <c r="D18" t="inlineStr">
        <is>
          <t>per hour (−37%)</t>
        </is>
      </c>
      <c r="E18" t="inlineStr">
        <is>
          <t>AWS price list reserved terms</t>
        </is>
      </c>
    </row>
    <row r="19">
      <c r="A19" t="inlineStr">
        <is>
          <t>g6e.12xlarge (4× L40S)</t>
        </is>
      </c>
      <c r="B19" t="inlineStr">
        <is>
          <t>on-demand / spot</t>
        </is>
      </c>
      <c r="C19" s="6" t="n">
        <v>10.49</v>
      </c>
      <c r="D19" t="inlineStr">
        <is>
          <t>per hour (spot ~$5.1)</t>
        </is>
      </c>
      <c r="E19" t="inlineStr">
        <is>
          <t>pricing.us-east-1.amazonaws.com EC2 price list</t>
        </is>
      </c>
    </row>
    <row r="20">
      <c r="A20" t="inlineStr">
        <is>
          <t>p4d.24xlarge (8× A100 40 GB)</t>
        </is>
      </c>
      <c r="B20" t="inlineStr">
        <is>
          <t>on-demand / spot</t>
        </is>
      </c>
      <c r="C20" s="6" t="n">
        <v>21.96</v>
      </c>
      <c r="D20" t="inlineStr">
        <is>
          <t>per hour (spot ~$9.7; post-2025 cut)</t>
        </is>
      </c>
      <c r="E20" t="inlineStr">
        <is>
          <t>pricing.us-east-1.amazonaws.com EC2 price list</t>
        </is>
      </c>
    </row>
    <row r="21">
      <c r="A21" t="inlineStr">
        <is>
          <t>p5.48xlarge (8× H100 80 GB)</t>
        </is>
      </c>
      <c r="B21" t="inlineStr">
        <is>
          <t>on-demand</t>
        </is>
      </c>
      <c r="C21" s="6" t="n">
        <v>55.04</v>
      </c>
      <c r="D21" t="inlineStr">
        <is>
          <t>per hour ($6.88/GPU-hr; post-2025 cut)</t>
        </is>
      </c>
      <c r="E21" t="inlineStr">
        <is>
          <t>pricing.us-east-1.amazonaws.com EC2 price list</t>
        </is>
      </c>
    </row>
    <row r="22">
      <c r="A22" t="inlineStr">
        <is>
          <t>p5.48xlarge via EC2 Capacity Blocks</t>
        </is>
      </c>
      <c r="B22" t="inlineStr">
        <is>
          <t>reservation, floats with demand</t>
        </is>
      </c>
      <c r="C22" s="6" t="n">
        <v>41.53</v>
      </c>
      <c r="D22" t="inlineStr">
        <is>
          <t>per hour ($5.191/GPU-hr, post July-2026 hike)</t>
        </is>
      </c>
      <c r="E22" t="inlineStr">
        <is>
          <t>aws.amazon.com/ec2/capacityblocks/pricing/</t>
        </is>
      </c>
    </row>
    <row r="23">
      <c r="A23" t="inlineStr">
        <is>
          <t>trn1.32xlarge (16× Trainium)</t>
        </is>
      </c>
      <c r="B23" t="inlineStr">
        <is>
          <t>on-demand / spot</t>
        </is>
      </c>
      <c r="C23" s="6" t="n">
        <v>21.5</v>
      </c>
      <c r="D23" t="inlineStr">
        <is>
          <t>per hour (spot ~$8.4, &lt;5% interruption)</t>
        </is>
      </c>
      <c r="E23" t="inlineStr">
        <is>
          <t>pricing.us-east-1.amazonaws.com EC2 price list</t>
        </is>
      </c>
    </row>
    <row r="25">
      <c r="A25" s="3" t="inlineStr">
        <is>
          <t>Data &amp; AI APIs</t>
        </is>
      </c>
      <c r="B25" s="4" t="n"/>
      <c r="C25" s="4" t="n"/>
      <c r="D25" s="4" t="n"/>
      <c r="E25" s="4" t="n"/>
    </row>
    <row r="26">
      <c r="A26" s="5" t="inlineStr">
        <is>
          <t>Item</t>
        </is>
      </c>
      <c r="B26" s="5" t="inlineStr">
        <is>
          <t>Tier / plan</t>
        </is>
      </c>
      <c r="C26" s="5" t="inlineStr">
        <is>
          <t>Price $</t>
        </is>
      </c>
      <c r="D26" s="5" t="inlineStr">
        <is>
          <t>Unit</t>
        </is>
      </c>
      <c r="E26" s="5" t="inlineStr">
        <is>
          <t>Source</t>
        </is>
      </c>
    </row>
    <row r="27">
      <c r="A27" t="inlineStr">
        <is>
          <t>The Odds API</t>
        </is>
      </c>
      <c r="B27" t="inlineStr">
        <is>
          <t>Free / 20K / 100K</t>
        </is>
      </c>
      <c r="C27" s="6" t="n">
        <v>30</v>
      </c>
      <c r="D27" t="inlineStr">
        <is>
          <t>per month (20K credits tier)</t>
        </is>
      </c>
      <c r="E27" t="inlineStr">
        <is>
          <t>the-odds-api.com</t>
        </is>
      </c>
    </row>
    <row r="28">
      <c r="A28" t="inlineStr">
        <is>
          <t>Open-Meteo commercial</t>
        </is>
      </c>
      <c r="B28" t="inlineStr">
        <is>
          <t>API Standard (1M calls/mo)</t>
        </is>
      </c>
      <c r="C28" s="6" t="n">
        <v>33</v>
      </c>
      <c r="D28" t="inlineStr">
        <is>
          <t>per month (EUR 29)</t>
        </is>
      </c>
      <c r="E28" t="inlineStr">
        <is>
          <t>open-meteo.com/en/pricing</t>
        </is>
      </c>
    </row>
    <row r="29">
      <c r="A29" t="inlineStr">
        <is>
          <t>Anthropic Claude — Haiku 4.5</t>
        </is>
      </c>
      <c r="B29" t="inlineStr">
        <is>
          <t>input / output</t>
        </is>
      </c>
      <c r="C29" s="6" t="n">
        <v>1</v>
      </c>
      <c r="D29" t="inlineStr">
        <is>
          <t>$1 / $5 per MTok (batch −50%)</t>
        </is>
      </c>
      <c r="E29" t="inlineStr">
        <is>
          <t>platform.claude.com/docs/en/about-claude/pricing</t>
        </is>
      </c>
    </row>
    <row r="30">
      <c r="A30" t="inlineStr">
        <is>
          <t>Anthropic Claude — Sonnet 5 (intro to 2026-08-31)</t>
        </is>
      </c>
      <c r="B30" t="inlineStr">
        <is>
          <t>input / output</t>
        </is>
      </c>
      <c r="C30" s="6" t="n">
        <v>2</v>
      </c>
      <c r="D30" t="inlineStr">
        <is>
          <t>$2 / $10 per MTok, then $3/$15</t>
        </is>
      </c>
      <c r="E30" t="inlineStr">
        <is>
          <t>platform.claude.com/docs/en/about-claude/pricing</t>
        </is>
      </c>
    </row>
    <row r="31">
      <c r="A31" t="inlineStr">
        <is>
          <t>Polymarket / Kalshi / Binance / yfinance / NWS / USGS / FRED / Census / BEA / BLS / FEC</t>
        </is>
      </c>
      <c r="B31" t="inlineStr">
        <is>
          <t>public</t>
        </is>
      </c>
      <c r="C31" s="6" t="n">
        <v>0</v>
      </c>
      <c r="D31" t="inlineStr">
        <is>
          <t>free (fair-use limits)</t>
        </is>
      </c>
      <c r="E31" t="inlineStr">
        <is>
          <t>various — verified free/keyless</t>
        </is>
      </c>
    </row>
    <row r="33">
      <c r="A33" s="3" t="inlineStr">
        <is>
          <t>SaaS &amp; payments</t>
        </is>
      </c>
      <c r="B33" s="4" t="n"/>
      <c r="C33" s="4" t="n"/>
      <c r="D33" s="4" t="n"/>
      <c r="E33" s="4" t="n"/>
    </row>
    <row r="34">
      <c r="A34" s="5" t="inlineStr">
        <is>
          <t>Item</t>
        </is>
      </c>
      <c r="B34" s="5" t="inlineStr">
        <is>
          <t>Tier / plan</t>
        </is>
      </c>
      <c r="C34" s="5" t="inlineStr">
        <is>
          <t>Price $</t>
        </is>
      </c>
      <c r="D34" s="5" t="inlineStr">
        <is>
          <t>Unit</t>
        </is>
      </c>
      <c r="E34" s="5" t="inlineStr">
        <is>
          <t>Source</t>
        </is>
      </c>
    </row>
    <row r="35">
      <c r="A35" t="inlineStr">
        <is>
          <t>Stripe card processing</t>
        </is>
      </c>
      <c r="B35" t="inlineStr">
        <is>
          <t>US standard</t>
        </is>
      </c>
      <c r="C35" s="6" t="n">
        <v>2.9</v>
      </c>
      <c r="D35" t="inlineStr">
        <is>
          <t>% + $0.30 per charge</t>
        </is>
      </c>
      <c r="E35" t="inlineStr">
        <is>
          <t>stripe.com/pricing</t>
        </is>
      </c>
    </row>
    <row r="36">
      <c r="A36" t="inlineStr">
        <is>
          <t>Stripe Billing (subscriptions)</t>
        </is>
      </c>
      <c r="B36" t="inlineStr">
        <is>
          <t>unified plan</t>
        </is>
      </c>
      <c r="C36" s="6" t="n">
        <v>0.7</v>
      </c>
      <c r="D36" t="inlineStr">
        <is>
          <t>% of billing volume</t>
        </is>
      </c>
      <c r="E36" t="inlineStr">
        <is>
          <t>stripe.com/billing/pricing</t>
        </is>
      </c>
    </row>
    <row r="37">
      <c r="A37" t="inlineStr">
        <is>
          <t>.ai domain (narve.ai)</t>
        </is>
      </c>
      <c r="B37" t="inlineStr">
        <is>
          <t>Porkbun renewal</t>
        </is>
      </c>
      <c r="C37" s="6" t="n">
        <v>82.7</v>
      </c>
      <c r="D37" t="inlineStr">
        <is>
          <t>per year</t>
        </is>
      </c>
      <c r="E37" t="inlineStr">
        <is>
          <t>porkbun.com</t>
        </is>
      </c>
    </row>
    <row r="38">
      <c r="A38" t="inlineStr">
        <is>
          <t>Cloudflare / Tailscale / GitHub</t>
        </is>
      </c>
      <c r="B38" t="inlineStr">
        <is>
          <t>free tiers</t>
        </is>
      </c>
      <c r="C38" s="6" t="n">
        <v>0</v>
      </c>
      <c r="D38" t="inlineStr">
        <is>
          <t>per month</t>
        </is>
      </c>
      <c r="E38" t="inlineStr">
        <is>
          <t>cloudflare.com, tailscale.com, github.com</t>
        </is>
      </c>
    </row>
    <row r="39">
      <c r="A39" t="inlineStr">
        <is>
          <t>Google Workspace</t>
        </is>
      </c>
      <c r="B39" t="inlineStr">
        <is>
          <t>Business Starter</t>
        </is>
      </c>
      <c r="C39" s="6" t="n">
        <v>7</v>
      </c>
      <c r="D39" t="inlineStr">
        <is>
          <t>per user / month (annual)</t>
        </is>
      </c>
      <c r="E39" t="inlineStr">
        <is>
          <t>workspace.google.com/pricing</t>
        </is>
      </c>
    </row>
    <row r="40">
      <c r="A40" t="inlineStr">
        <is>
          <t>Sentry</t>
        </is>
      </c>
      <c r="B40" t="inlineStr">
        <is>
          <t>Team</t>
        </is>
      </c>
      <c r="C40" s="6" t="n">
        <v>26</v>
      </c>
      <c r="D40" t="inlineStr">
        <is>
          <t>per month (annual)</t>
        </is>
      </c>
      <c r="E40" t="inlineStr">
        <is>
          <t>sentry.io/pricing</t>
        </is>
      </c>
    </row>
    <row r="41">
      <c r="A41" t="inlineStr">
        <is>
          <t>Apple Developer Program (iOS app)</t>
        </is>
      </c>
      <c r="B41" t="inlineStr">
        <is>
          <t>individual</t>
        </is>
      </c>
      <c r="C41" s="6" t="n">
        <v>99</v>
      </c>
      <c r="D41" t="inlineStr">
        <is>
          <t>per year</t>
        </is>
      </c>
      <c r="E41" t="inlineStr">
        <is>
          <t>developer.apple.com/support/enrollment/</t>
        </is>
      </c>
    </row>
    <row r="43">
      <c r="A43" s="3" t="inlineStr">
        <is>
          <t>Company &amp; professional (US Delaware C-corp) — founder salary removed in v2</t>
        </is>
      </c>
      <c r="B43" s="4" t="n"/>
      <c r="C43" s="4" t="n"/>
      <c r="D43" s="4" t="n"/>
      <c r="E43" s="4" t="n"/>
    </row>
    <row r="44">
      <c r="A44" s="5" t="inlineStr">
        <is>
          <t>Item</t>
        </is>
      </c>
      <c r="B44" s="5" t="inlineStr">
        <is>
          <t>Tier / plan</t>
        </is>
      </c>
      <c r="C44" s="5" t="inlineStr">
        <is>
          <t>Price $</t>
        </is>
      </c>
      <c r="D44" s="5" t="inlineStr">
        <is>
          <t>Unit</t>
        </is>
      </c>
      <c r="E44" s="5" t="inlineStr">
        <is>
          <t>Source</t>
        </is>
      </c>
    </row>
    <row r="45">
      <c r="A45" t="inlineStr">
        <is>
          <t>Incorporation (Stripe Atlas)</t>
        </is>
      </c>
      <c r="B45" t="inlineStr">
        <is>
          <t>one-time</t>
        </is>
      </c>
      <c r="C45" s="6" t="n">
        <v>500</v>
      </c>
      <c r="D45" t="inlineStr">
        <is>
          <t>one-time (incl. 1st-yr agent)</t>
        </is>
      </c>
      <c r="E45" t="inlineStr">
        <is>
          <t>stripe.com/atlas</t>
        </is>
      </c>
    </row>
    <row r="46">
      <c r="A46" t="inlineStr">
        <is>
          <t>Registered agent</t>
        </is>
      </c>
      <c r="B46" t="inlineStr">
        <is>
          <t>annual, from yr 2</t>
        </is>
      </c>
      <c r="C46" s="6" t="n">
        <v>100</v>
      </c>
      <c r="D46" t="inlineStr">
        <is>
          <t>per year</t>
        </is>
      </c>
      <c r="E46" t="inlineStr">
        <is>
          <t>support.stripe.com (Atlas renewal)</t>
        </is>
      </c>
    </row>
    <row r="47">
      <c r="A47" t="inlineStr">
        <is>
          <t>Delaware franchise tax + report</t>
        </is>
      </c>
      <c r="B47" t="inlineStr">
        <is>
          <t>assumed-par-value minimum</t>
        </is>
      </c>
      <c r="C47" s="6" t="n">
        <v>450</v>
      </c>
      <c r="D47" t="inlineStr">
        <is>
          <t>per year</t>
        </is>
      </c>
      <c r="E47" t="inlineStr">
        <is>
          <t>corp.delaware.gov/frtaxcalc/</t>
        </is>
      </c>
    </row>
    <row r="48">
      <c r="A48" t="inlineStr">
        <is>
          <t>Bookkeeping (Pilot Essentials)</t>
        </is>
      </c>
      <c r="B48" t="inlineStr">
        <is>
          <t>monthly</t>
        </is>
      </c>
      <c r="C48" s="6" t="n">
        <v>99</v>
      </c>
      <c r="D48" t="inlineStr">
        <is>
          <t>per month</t>
        </is>
      </c>
      <c r="E48" t="inlineStr">
        <is>
          <t>pilot.com/pricing</t>
        </is>
      </c>
    </row>
    <row r="49">
      <c r="A49" t="inlineStr">
        <is>
          <t>Corporate tax filing (Fondo TaxPass)</t>
        </is>
      </c>
      <c r="B49" t="inlineStr">
        <is>
          <t>annual</t>
        </is>
      </c>
      <c r="C49" s="6" t="n">
        <v>950</v>
      </c>
      <c r="D49" t="inlineStr">
        <is>
          <t>per year</t>
        </is>
      </c>
      <c r="E49" t="inlineStr">
        <is>
          <t>fondo.com/pricing</t>
        </is>
      </c>
    </row>
    <row r="50">
      <c r="A50" t="inlineStr">
        <is>
          <t>Business insurance (GL + E&amp;O + cyber)</t>
        </is>
      </c>
      <c r="B50" t="inlineStr">
        <is>
          <t>small SaaS average</t>
        </is>
      </c>
      <c r="C50" s="6" t="n">
        <v>281</v>
      </c>
      <c r="D50" t="inlineStr">
        <is>
          <t>per month</t>
        </is>
      </c>
      <c r="E50" t="inlineStr">
        <is>
          <t>insureon.com / techinsurance.com</t>
        </is>
      </c>
    </row>
    <row r="51">
      <c r="A51" t="inlineStr">
        <is>
          <t>Pre-seed SAFE legal review</t>
        </is>
      </c>
      <c r="B51" t="inlineStr">
        <is>
          <t>one-time (YC SAFE docs free)</t>
        </is>
      </c>
      <c r="C51" s="6" t="n">
        <v>5000</v>
      </c>
      <c r="D51" t="inlineStr">
        <is>
          <t>one-time</t>
        </is>
      </c>
      <c r="E51" t="inlineStr">
        <is>
          <t>siliconhillslawyer.com; pilot.com/insights</t>
        </is>
      </c>
    </row>
    <row r="52">
      <c r="A52" t="inlineStr">
        <is>
          <t>IA/CTA regulatory memo (signal-selling)</t>
        </is>
      </c>
      <c r="B52" t="inlineStr">
        <is>
          <t>one-time, midpoint of $5–25k</t>
        </is>
      </c>
      <c r="C52" s="6" t="n">
        <v>15000</v>
      </c>
      <c r="D52" t="inlineStr">
        <is>
          <t>one-time</t>
        </is>
      </c>
      <c r="E52" t="inlineStr">
        <is>
          <t>specialist counsel estimate</t>
        </is>
      </c>
    </row>
    <row r="53">
      <c r="A53" t="inlineStr">
        <is>
          <t>Part-time ML contractor (scale plan only)</t>
        </is>
      </c>
      <c r="B53" t="inlineStr">
        <is>
          <t>planning figure</t>
        </is>
      </c>
      <c r="C53" s="6" t="n">
        <v>1500</v>
      </c>
      <c r="D53" t="inlineStr">
        <is>
          <t>per month</t>
        </is>
      </c>
      <c r="E53" t="inlineStr">
        <is>
          <t>estimate</t>
        </is>
      </c>
    </row>
    <row r="54">
      <c r="A54" t="inlineStr">
        <is>
          <t>Marketing budget</t>
        </is>
      </c>
      <c r="B54" t="inlineStr">
        <is>
          <t>planning figure</t>
        </is>
      </c>
      <c r="C54" s="6" t="n">
        <v>500</v>
      </c>
      <c r="D54" t="inlineStr">
        <is>
          <t>per month (fine-tune) / $1,000 (scale)</t>
        </is>
      </c>
      <c r="E54" t="inlineStr">
        <is>
          <t>estimate</t>
        </is>
      </c>
    </row>
    <row r="56">
      <c r="A56" s="3" t="inlineStr">
        <is>
          <t>MODEL DRIVERS (edit these — yellow)</t>
        </is>
      </c>
      <c r="B56" s="4" t="n"/>
      <c r="C56" s="4" t="n"/>
      <c r="D56" s="4" t="n"/>
      <c r="E56" s="4" t="n"/>
    </row>
    <row r="57">
      <c r="A57" s="5" t="inlineStr">
        <is>
          <t>Driver</t>
        </is>
      </c>
      <c r="B57" s="5" t="inlineStr">
        <is>
          <t>Value</t>
        </is>
      </c>
      <c r="C57" s="5" t="inlineStr"/>
      <c r="D57" s="5" t="inlineStr">
        <is>
          <t>Unit</t>
        </is>
      </c>
      <c r="E57" s="5" t="inlineStr">
        <is>
          <t>Note</t>
        </is>
      </c>
    </row>
    <row r="58">
      <c r="A58" t="inlineStr">
        <is>
          <t>Blended ARPU</t>
        </is>
      </c>
      <c r="B58" s="7" t="n">
        <v>11.24</v>
      </c>
      <c r="D58" t="inlineStr">
        <is>
          <t>$/subscriber/month</t>
        </is>
      </c>
      <c r="E58" t="inlineStr">
        <is>
          <t>40% Market Edge $9.99 + 35% Midterm $14.99 + 25% Weather $7.99 (config.json prices)</t>
        </is>
      </c>
    </row>
    <row r="59">
      <c r="A59" t="inlineStr">
        <is>
          <t>Stripe % take</t>
        </is>
      </c>
      <c r="B59" s="8" t="n">
        <v>0.036</v>
      </c>
      <c r="D59" t="inlineStr">
        <is>
          <t>% of revenue</t>
        </is>
      </c>
      <c r="E59" t="inlineStr">
        <is>
          <t>2.9% processing + 0.7% Billing</t>
        </is>
      </c>
    </row>
    <row r="60">
      <c r="A60" t="inlineStr">
        <is>
          <t>Stripe fixed per charge</t>
        </is>
      </c>
      <c r="B60" s="7" t="n">
        <v>0.3</v>
      </c>
      <c r="D60" t="inlineStr">
        <is>
          <t>$/charge/month</t>
        </is>
      </c>
      <c r="E60" t="inlineStr">
        <is>
          <t>per successful card charge</t>
        </is>
      </c>
    </row>
    <row r="61">
      <c r="A61" t="inlineStr">
        <is>
          <t>Churn — base</t>
        </is>
      </c>
      <c r="B61" s="8" t="n">
        <v>0.06</v>
      </c>
      <c r="D61" t="inlineStr">
        <is>
          <t>%/month</t>
        </is>
      </c>
      <c r="E61" t="inlineStr">
        <is>
          <t>prosumer trading-signal SaaS typical 5–8%</t>
        </is>
      </c>
    </row>
    <row r="62">
      <c r="A62" t="inlineStr">
        <is>
          <t>Churn — optimistic</t>
        </is>
      </c>
      <c r="B62" s="8" t="n">
        <v>0.05</v>
      </c>
      <c r="D62" t="inlineStr">
        <is>
          <t>%/month</t>
        </is>
      </c>
      <c r="E62" t="inlineStr"/>
    </row>
    <row r="63">
      <c r="A63" t="inlineStr">
        <is>
          <t>New subs month 1 — conservative</t>
        </is>
      </c>
      <c r="B63" s="9" t="n">
        <v>10</v>
      </c>
      <c r="D63" t="inlineStr">
        <is>
          <t>subs</t>
        </is>
      </c>
      <c r="E63" t="inlineStr">
        <is>
          <t>flat adds, no growth</t>
        </is>
      </c>
    </row>
    <row r="64">
      <c r="A64" t="inlineStr">
        <is>
          <t>New subs month 1 — base</t>
        </is>
      </c>
      <c r="B64" s="9" t="n">
        <v>15</v>
      </c>
      <c r="D64" t="inlineStr">
        <is>
          <t>subs</t>
        </is>
      </c>
      <c r="E64" t="inlineStr">
        <is>
          <t>grows 15%/mo, capped 150/mo</t>
        </is>
      </c>
    </row>
    <row r="65">
      <c r="A65" t="inlineStr">
        <is>
          <t>New subs growth — base</t>
        </is>
      </c>
      <c r="B65" s="8" t="n">
        <v>0.15</v>
      </c>
      <c r="D65" t="inlineStr">
        <is>
          <t>%/month</t>
        </is>
      </c>
      <c r="E65" t="inlineStr"/>
    </row>
    <row r="66">
      <c r="A66" t="inlineStr">
        <is>
          <t>New subs cap — base</t>
        </is>
      </c>
      <c r="B66" s="9" t="n">
        <v>150</v>
      </c>
      <c r="D66" t="inlineStr">
        <is>
          <t>subs/month</t>
        </is>
      </c>
      <c r="E66" t="inlineStr"/>
    </row>
    <row r="67">
      <c r="A67" t="inlineStr">
        <is>
          <t>New subs month 1 — optimistic</t>
        </is>
      </c>
      <c r="B67" s="9" t="n">
        <v>30</v>
      </c>
      <c r="D67" t="inlineStr">
        <is>
          <t>subs</t>
        </is>
      </c>
      <c r="E67" t="inlineStr">
        <is>
          <t>grows 20%/mo, capped 400/mo</t>
        </is>
      </c>
    </row>
    <row r="68">
      <c r="A68" t="inlineStr">
        <is>
          <t>New subs growth — optimistic</t>
        </is>
      </c>
      <c r="B68" s="8" t="n">
        <v>0.2</v>
      </c>
      <c r="D68" t="inlineStr">
        <is>
          <t>%/month</t>
        </is>
      </c>
      <c r="E68" t="inlineStr"/>
    </row>
    <row r="69">
      <c r="A69" t="inlineStr">
        <is>
          <t>New subs cap — optimistic</t>
        </is>
      </c>
      <c r="B69" s="9" t="n">
        <v>400</v>
      </c>
      <c r="D69" t="inlineStr">
        <is>
          <t>subs/month</t>
        </is>
      </c>
      <c r="E69" t="inlineStr"/>
    </row>
    <row r="70">
      <c r="A70" t="inlineStr">
        <is>
          <t>Raise buffer</t>
        </is>
      </c>
      <c r="B70" s="8" t="n">
        <v>0.25</v>
      </c>
      <c r="D70" t="inlineStr">
        <is>
          <t>% on top of peak need</t>
        </is>
      </c>
      <c r="E70" t="inlineStr">
        <is>
          <t>cushion for overruns</t>
        </is>
      </c>
    </row>
    <row r="71">
      <c r="A71" t="inlineStr">
        <is>
          <t>GPU hrs/mo — single-GPU dev/fine-tune</t>
        </is>
      </c>
      <c r="B71" s="9" t="n">
        <v>300</v>
      </c>
      <c r="D71" t="inlineStr">
        <is>
          <t>hours</t>
        </is>
      </c>
      <c r="E71" t="inlineStr">
        <is>
          <t>g6e.xlarge: daily LoRA/QLoRA fine-tunes, evals, retraining</t>
        </is>
      </c>
    </row>
    <row r="72">
      <c r="A72" t="inlineStr">
        <is>
          <t>GPU rate — single-GPU ($/hr)</t>
        </is>
      </c>
      <c r="B72" s="7" t="n">
        <v>1.861</v>
      </c>
      <c r="D72" t="inlineStr">
        <is>
          <t>$/hour</t>
        </is>
      </c>
      <c r="E72" t="inlineStr">
        <is>
          <t>g6e.xlarge on-demand; use 1.1724 if reserved, ~1.2 spot</t>
        </is>
      </c>
    </row>
    <row r="73">
      <c r="A73" t="inlineStr">
        <is>
          <t>GPU hrs/mo — multi-GPU runs</t>
        </is>
      </c>
      <c r="B73" s="9" t="n">
        <v>80</v>
      </c>
      <c r="D73" t="inlineStr">
        <is>
          <t>hours</t>
        </is>
      </c>
      <c r="E73" t="inlineStr">
        <is>
          <t>g6e.12xlarge: bigger fine-tunes / weekly full runs</t>
        </is>
      </c>
    </row>
    <row r="74">
      <c r="A74" t="inlineStr">
        <is>
          <t>GPU rate — multi-GPU ($/hr)</t>
        </is>
      </c>
      <c r="B74" s="7" t="n">
        <v>10.49</v>
      </c>
      <c r="D74" t="inlineStr">
        <is>
          <t>$/hour</t>
        </is>
      </c>
      <c r="E74" t="inlineStr">
        <is>
          <t>g6e.12xlarge on-demand (4× L40S)</t>
        </is>
      </c>
    </row>
    <row r="75">
      <c r="A75" t="inlineStr">
        <is>
          <t>GPU hrs/mo — H100 blocks (scale plan)</t>
        </is>
      </c>
      <c r="B75" s="9" t="n">
        <v>168</v>
      </c>
      <c r="D75" t="inlineStr">
        <is>
          <t>hours</t>
        </is>
      </c>
      <c r="E75" t="inlineStr">
        <is>
          <t>one p5.48xlarge Capacity-Block week per month</t>
        </is>
      </c>
    </row>
    <row r="76">
      <c r="A76" t="inlineStr">
        <is>
          <t>GPU rate — H100 blocks ($/hr)</t>
        </is>
      </c>
      <c r="B76" s="7" t="n">
        <v>41.53</v>
      </c>
      <c r="D76" t="inlineStr">
        <is>
          <t>$/hour</t>
        </is>
      </c>
      <c r="E76" t="inlineStr">
        <is>
          <t>$5.191/GPU-hr × 8 (post July-2026 hike; floats)</t>
        </is>
      </c>
    </row>
    <row r="77">
      <c r="A77" t="inlineStr">
        <is>
          <t>GPU hrs/mo — A100 spot experiments (scale plan)</t>
        </is>
      </c>
      <c r="B77" s="9" t="n">
        <v>100</v>
      </c>
      <c r="D77" t="inlineStr">
        <is>
          <t>hours</t>
        </is>
      </c>
      <c r="E77" t="inlineStr">
        <is>
          <t>p4d.24xlarge spot</t>
        </is>
      </c>
    </row>
    <row r="78">
      <c r="A78" t="inlineStr">
        <is>
          <t>GPU rate — A100 spot ($/hr)</t>
        </is>
      </c>
      <c r="B78" s="7" t="n">
        <v>9.699999999999999</v>
      </c>
      <c r="D78" t="inlineStr">
        <is>
          <t>$/hour</t>
        </is>
      </c>
      <c r="E78" t="inlineStr">
        <is>
          <t>p4d.24xlarge spot approx (±30%)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64" customWidth="1" min="5" max="5"/>
  </cols>
  <sheetData>
    <row r="1">
      <c r="A1" s="1" t="inlineStr">
        <is>
          <t>Monthly operating costs — three scenarios (USD)</t>
        </is>
      </c>
    </row>
    <row r="2">
      <c r="A2" t="inlineStr">
        <is>
          <t>Bootstrap = trimmed 3-product fleet, no training. ML fine-tune = main plan (the P&amp;L runs on this). ML scale = H100 Capacity Blocks. No founder salary in any scenario.</t>
        </is>
      </c>
    </row>
    <row r="4">
      <c r="A4" s="5" t="inlineStr">
        <is>
          <t>Line item</t>
        </is>
      </c>
      <c r="B4" s="5" t="inlineStr">
        <is>
          <t>Bootstrap</t>
        </is>
      </c>
      <c r="C4" s="5" t="inlineStr">
        <is>
          <t>ML fine-tune</t>
        </is>
      </c>
      <c r="D4" s="5" t="inlineStr">
        <is>
          <t>ML scale</t>
        </is>
      </c>
      <c r="E4" s="5" t="inlineStr">
        <is>
          <t>Basis</t>
        </is>
      </c>
    </row>
    <row r="5">
      <c r="A5" s="3" t="inlineStr">
        <is>
          <t>AWS — serving infrastructure</t>
        </is>
      </c>
      <c r="B5" s="4" t="n"/>
      <c r="C5" s="4" t="n"/>
      <c r="D5" s="4" t="n"/>
      <c r="E5" s="4" t="n"/>
    </row>
    <row r="6">
      <c r="A6" t="inlineStr">
        <is>
          <t>EC2 app server</t>
        </is>
      </c>
      <c r="B6" s="6" t="n">
        <v>60.74</v>
      </c>
      <c r="C6" s="6" t="n">
        <v>76.14</v>
      </c>
      <c r="D6" s="6" t="n">
        <v>76.14</v>
      </c>
      <c r="E6" t="inlineStr">
        <is>
          <t>Boot: t3.large on-demand. Plans: t3.xlarge 1-yr reserved</t>
        </is>
      </c>
    </row>
    <row r="7">
      <c r="A7" t="inlineStr">
        <is>
          <t>EBS gp3 volumes</t>
        </is>
      </c>
      <c r="B7" s="6" t="n">
        <v>4</v>
      </c>
      <c r="C7" s="6" t="n">
        <v>8</v>
      </c>
      <c r="D7" s="6" t="n">
        <v>8</v>
      </c>
      <c r="E7" t="inlineStr">
        <is>
          <t>50 / 100 GB @ $0.08</t>
        </is>
      </c>
    </row>
    <row r="8">
      <c r="A8" t="inlineStr">
        <is>
          <t>EBS snapshots (backups)</t>
        </is>
      </c>
      <c r="B8" s="6" t="n">
        <v>1.25</v>
      </c>
      <c r="C8" s="6" t="n">
        <v>2.5</v>
      </c>
      <c r="D8" s="6" t="n">
        <v>2.5</v>
      </c>
      <c r="E8" t="inlineStr">
        <is>
          <t>25 / 50 GB @ $0.05 (incremental)</t>
        </is>
      </c>
    </row>
    <row r="9">
      <c r="A9" t="inlineStr">
        <is>
          <t>S3 (snapshot.sh archives)</t>
        </is>
      </c>
      <c r="B9" s="6" t="n">
        <v>0.58</v>
      </c>
      <c r="C9" s="6" t="n">
        <v>1.15</v>
      </c>
      <c r="D9" s="6" t="n">
        <v>1.15</v>
      </c>
      <c r="E9" t="inlineStr">
        <is>
          <t>25 / 50 GB @ $0.023</t>
        </is>
      </c>
    </row>
    <row r="10">
      <c r="A10" t="inlineStr">
        <is>
          <t>Data transfer out</t>
        </is>
      </c>
      <c r="B10" s="6" t="n">
        <v>0</v>
      </c>
      <c r="C10" s="6" t="n">
        <v>18</v>
      </c>
      <c r="D10" s="6" t="n">
        <v>18</v>
      </c>
      <c r="E10" t="inlineStr">
        <is>
          <t>≤100 GB free / ~300 GB @ $0.09 after free tier</t>
        </is>
      </c>
    </row>
    <row r="11">
      <c r="A11" t="inlineStr">
        <is>
          <t>Amazon SES email</t>
        </is>
      </c>
      <c r="B11" s="6" t="n">
        <v>0.5</v>
      </c>
      <c r="C11" s="6" t="n">
        <v>1</v>
      </c>
      <c r="D11" s="6" t="n">
        <v>1</v>
      </c>
      <c r="E11" t="inlineStr">
        <is>
          <t>password resets, alerts @ $0.10/1k</t>
        </is>
      </c>
    </row>
    <row r="12">
      <c r="A12" s="3" t="inlineStr">
        <is>
          <t>AWS — model training (GPU) ← the main cost</t>
        </is>
      </c>
      <c r="B12" s="4" t="n"/>
      <c r="C12" s="4" t="n"/>
      <c r="D12" s="4" t="n"/>
      <c r="E12" s="4" t="n"/>
    </row>
    <row r="13">
      <c r="A13" t="inlineStr">
        <is>
          <t>Single-GPU dev/fine-tune (g6e.xlarge, L40S 48GB)</t>
        </is>
      </c>
      <c r="B13" s="6" t="n">
        <v>0</v>
      </c>
      <c r="C13" s="6">
        <f>Assumptions!$B$71*Assumptions!$B$72</f>
        <v/>
      </c>
      <c r="D13" s="6">
        <f>Assumptions!$B$71*Assumptions!$B$72</f>
        <v/>
      </c>
      <c r="E13" t="inlineStr">
        <is>
          <t>hours × rate drivers on Assumptions (300 h × $1.861)</t>
        </is>
      </c>
    </row>
    <row r="14">
      <c r="A14" t="inlineStr">
        <is>
          <t>Multi-GPU runs (g6e.12xlarge, 4× L40S)</t>
        </is>
      </c>
      <c r="B14" s="6" t="n">
        <v>0</v>
      </c>
      <c r="C14" s="6">
        <f>Assumptions!$B$73*Assumptions!$B$74</f>
        <v/>
      </c>
      <c r="D14" s="6">
        <f>Assumptions!$B$73*Assumptions!$B$74</f>
        <v/>
      </c>
      <c r="E14" t="inlineStr">
        <is>
          <t>hours × rate drivers (80 h × $10.49)</t>
        </is>
      </c>
    </row>
    <row r="15">
      <c r="A15" t="inlineStr">
        <is>
          <t>H100 Capacity Blocks (p5.48xlarge, 8× H100)</t>
        </is>
      </c>
      <c r="B15" s="6" t="n">
        <v>0</v>
      </c>
      <c r="C15" s="6" t="n">
        <v>0</v>
      </c>
      <c r="D15" s="6">
        <f>Assumptions!$B$75*Assumptions!$B$76</f>
        <v/>
      </c>
      <c r="E15" t="inlineStr">
        <is>
          <t>scale plan: one 1-week block/mo (168 h × $41.53)</t>
        </is>
      </c>
    </row>
    <row r="16">
      <c r="A16" t="inlineStr">
        <is>
          <t>A100 spot experiments (p4d.24xlarge, 8× A100)</t>
        </is>
      </c>
      <c r="B16" s="6" t="n">
        <v>0</v>
      </c>
      <c r="C16" s="6" t="n">
        <v>0</v>
      </c>
      <c r="D16" s="6">
        <f>Assumptions!$B$77*Assumptions!$B$78</f>
        <v/>
      </c>
      <c r="E16" t="inlineStr">
        <is>
          <t>scale plan: 100 h × ~$9.70 spot (±30%)</t>
        </is>
      </c>
    </row>
    <row r="17">
      <c r="A17" t="inlineStr">
        <is>
          <t>Training data storage (S3 + EBS scratch)</t>
        </is>
      </c>
      <c r="B17" s="6" t="n">
        <v>0</v>
      </c>
      <c r="C17" s="6" t="n">
        <v>51.5</v>
      </c>
      <c r="D17" s="6" t="n">
        <v>126</v>
      </c>
      <c r="E17" t="inlineStr">
        <is>
          <t>500 GB S3 + 500 GB gp3 / 2 TB S3 + 1 TB gp3</t>
        </is>
      </c>
    </row>
    <row r="18">
      <c r="A18" t="inlineStr">
        <is>
          <t>Dataset transfer / misc</t>
        </is>
      </c>
      <c r="B18" s="6" t="n">
        <v>0</v>
      </c>
      <c r="C18" s="6" t="n">
        <v>5</v>
      </c>
      <c r="D18" s="6" t="n">
        <v>20</v>
      </c>
      <c r="E18" t="inlineStr">
        <is>
          <t>egress + requests</t>
        </is>
      </c>
    </row>
    <row r="19">
      <c r="A19" s="3" t="inlineStr">
        <is>
          <t>Data &amp; AI APIs</t>
        </is>
      </c>
      <c r="B19" s="4" t="n"/>
      <c r="C19" s="4" t="n"/>
      <c r="D19" s="4" t="n"/>
      <c r="E19" s="4" t="n"/>
    </row>
    <row r="20">
      <c r="A20" t="inlineStr">
        <is>
          <t>Open-Meteo commercial license</t>
        </is>
      </c>
      <c r="B20" s="6" t="n">
        <v>33</v>
      </c>
      <c r="C20" s="6" t="n">
        <v>33</v>
      </c>
      <c r="D20" s="6" t="n">
        <v>33</v>
      </c>
      <c r="E20" t="inlineStr">
        <is>
          <t>required to sell the weather product (free tier is non-commercial)</t>
        </is>
      </c>
    </row>
    <row r="21">
      <c r="A21" t="inlineStr">
        <is>
          <t>The Odds API</t>
        </is>
      </c>
      <c r="B21" s="6" t="n">
        <v>0</v>
      </c>
      <c r="C21" s="6" t="n">
        <v>30</v>
      </c>
      <c r="D21" s="6" t="n">
        <v>30</v>
      </c>
      <c r="E21" t="inlineStr">
        <is>
          <t>free 500 credits / 20K tier</t>
        </is>
      </c>
    </row>
    <row r="22">
      <c r="A22" t="inlineStr">
        <is>
          <t>Anthropic Claude API</t>
        </is>
      </c>
      <c r="B22" s="6" t="n">
        <v>10</v>
      </c>
      <c r="C22" s="6" t="n">
        <v>50</v>
      </c>
      <c r="D22" s="6" t="n">
        <v>50</v>
      </c>
      <c r="E22" t="inlineStr">
        <is>
          <t>email relay / + signal explanations (Haiku 4.5 batch)</t>
        </is>
      </c>
    </row>
    <row r="23">
      <c r="A23" s="3" t="inlineStr">
        <is>
          <t>SaaS &amp; tooling</t>
        </is>
      </c>
      <c r="B23" s="4" t="n"/>
      <c r="C23" s="4" t="n"/>
      <c r="D23" s="4" t="n"/>
      <c r="E23" s="4" t="n"/>
    </row>
    <row r="24">
      <c r="A24" t="inlineStr">
        <is>
          <t>.ai domain</t>
        </is>
      </c>
      <c r="B24" s="6" t="n">
        <v>6.89</v>
      </c>
      <c r="C24" s="6" t="n">
        <v>6.89</v>
      </c>
      <c r="D24" s="6" t="n">
        <v>6.89</v>
      </c>
      <c r="E24" t="inlineStr">
        <is>
          <t>$82.70/yr Porkbun renewal ÷ 12</t>
        </is>
      </c>
    </row>
    <row r="25">
      <c r="A25" t="inlineStr">
        <is>
          <t>Cloudflare / Tailscale / GitHub</t>
        </is>
      </c>
      <c r="B25" s="6" t="n">
        <v>0</v>
      </c>
      <c r="C25" s="6" t="n">
        <v>0</v>
      </c>
      <c r="D25" s="6" t="n">
        <v>0</v>
      </c>
      <c r="E25" t="inlineStr">
        <is>
          <t>free tiers (Tunnel confirmed free)</t>
        </is>
      </c>
    </row>
    <row r="26">
      <c r="A26" t="inlineStr">
        <is>
          <t>Google Workspace (1 user)</t>
        </is>
      </c>
      <c r="B26" s="6" t="n">
        <v>7</v>
      </c>
      <c r="C26" s="6" t="n">
        <v>7</v>
      </c>
      <c r="D26" s="6" t="n">
        <v>7</v>
      </c>
      <c r="E26" t="inlineStr">
        <is>
          <t>Business Starter</t>
        </is>
      </c>
    </row>
    <row r="27">
      <c r="A27" t="inlineStr">
        <is>
          <t>Sentry</t>
        </is>
      </c>
      <c r="B27" s="6" t="n">
        <v>0</v>
      </c>
      <c r="C27" s="6" t="n">
        <v>26</v>
      </c>
      <c r="D27" s="6" t="n">
        <v>26</v>
      </c>
      <c r="E27" t="inlineStr">
        <is>
          <t>Developer free / Team</t>
        </is>
      </c>
    </row>
    <row r="28">
      <c r="A28" t="inlineStr">
        <is>
          <t>Apple Developer (iOS app)</t>
        </is>
      </c>
      <c r="B28" s="6" t="n">
        <v>0</v>
      </c>
      <c r="C28" s="6" t="n">
        <v>8.25</v>
      </c>
      <c r="D28" s="6" t="n">
        <v>8.25</v>
      </c>
      <c r="E28" t="inlineStr">
        <is>
          <t>$99/yr ÷ 12 — CryptoEdge iOS app</t>
        </is>
      </c>
    </row>
    <row r="29">
      <c r="A29" s="3" t="inlineStr">
        <is>
          <t>People &amp; professional (no founder salary)</t>
        </is>
      </c>
      <c r="B29" s="4" t="n"/>
      <c r="C29" s="4" t="n"/>
      <c r="D29" s="4" t="n"/>
      <c r="E29" s="4" t="n"/>
    </row>
    <row r="30">
      <c r="A30" t="inlineStr">
        <is>
          <t>Part-time ML contractor</t>
        </is>
      </c>
      <c r="B30" s="6" t="n">
        <v>0</v>
      </c>
      <c r="C30" s="6" t="n">
        <v>0</v>
      </c>
      <c r="D30" s="6" t="n">
        <v>1500</v>
      </c>
      <c r="E30" t="inlineStr">
        <is>
          <t>scale plan only</t>
        </is>
      </c>
    </row>
    <row r="31">
      <c r="A31" t="inlineStr">
        <is>
          <t>Bookkeeping (Pilot Essentials)</t>
        </is>
      </c>
      <c r="B31" s="6" t="n">
        <v>0</v>
      </c>
      <c r="C31" s="6" t="n">
        <v>99</v>
      </c>
      <c r="D31" s="6" t="n">
        <v>99</v>
      </c>
      <c r="E31" t="inlineStr">
        <is>
          <t>$99/mo</t>
        </is>
      </c>
    </row>
    <row r="32">
      <c r="A32" t="inlineStr">
        <is>
          <t>Business insurance (GL+E&amp;O+cyber)</t>
        </is>
      </c>
      <c r="B32" s="6" t="n">
        <v>0</v>
      </c>
      <c r="C32" s="6" t="n">
        <v>281</v>
      </c>
      <c r="D32" s="6" t="n">
        <v>281</v>
      </c>
      <c r="E32" t="inlineStr">
        <is>
          <t>small-SaaS averages (Insureon/TechInsurance)</t>
        </is>
      </c>
    </row>
    <row r="33">
      <c r="A33" t="inlineStr">
        <is>
          <t>Compliance amortized (franchise tax, agent, tax filing)</t>
        </is>
      </c>
      <c r="B33" s="6" t="n">
        <v>37.5</v>
      </c>
      <c r="C33" s="6" t="n">
        <v>125</v>
      </c>
      <c r="D33" s="6" t="n">
        <v>125</v>
      </c>
      <c r="E33" t="inlineStr">
        <is>
          <t>Boot: DE franchise tax only. Plans: +$100 agent +$950 Fondo ÷ 12</t>
        </is>
      </c>
    </row>
    <row r="34">
      <c r="A34" t="inlineStr">
        <is>
          <t>Marketing</t>
        </is>
      </c>
      <c r="B34" s="6" t="n">
        <v>0</v>
      </c>
      <c r="C34" s="6" t="n">
        <v>500</v>
      </c>
      <c r="D34" s="6" t="n">
        <v>1000</v>
      </c>
      <c r="E34" t="inlineStr">
        <is>
          <t>planning figure</t>
        </is>
      </c>
    </row>
    <row r="35">
      <c r="A35" s="3" t="inlineStr">
        <is>
          <t>TOTALS</t>
        </is>
      </c>
      <c r="B35" s="4" t="n"/>
      <c r="C35" s="4" t="n"/>
      <c r="D35" s="4" t="n"/>
      <c r="E35" s="4" t="n"/>
    </row>
    <row r="36">
      <c r="A36" s="10" t="inlineStr">
        <is>
          <t>Total monthly</t>
        </is>
      </c>
      <c r="B36" s="11">
        <f>SUM(B6:B11,B13:B18,B20:B22,B24:B28,B30:B34)</f>
        <v/>
      </c>
      <c r="C36" s="11">
        <f>SUM(C6:C11,C13:C18,C20:C22,C24:C28,C30:C34)</f>
        <v/>
      </c>
      <c r="D36" s="11">
        <f>SUM(D6:D11,D13:D18,D20:D22,D24:D28,D30:D34)</f>
        <v/>
      </c>
    </row>
    <row r="37">
      <c r="A37" s="10" t="inlineStr">
        <is>
          <t>of which AWS (serving + training)</t>
        </is>
      </c>
      <c r="B37" s="6">
        <f>SUM(B6:B11)+SUM(B13:B18)</f>
        <v/>
      </c>
      <c r="C37" s="6">
        <f>SUM(C6:C11)+SUM(C13:C18)</f>
        <v/>
      </c>
      <c r="D37" s="6">
        <f>SUM(D6:D11)+SUM(D13:D18)</f>
        <v/>
      </c>
    </row>
    <row r="38">
      <c r="A38" s="10" t="inlineStr">
        <is>
          <t>AWS share of total</t>
        </is>
      </c>
      <c r="B38" s="12">
        <f>B37/B36</f>
        <v/>
      </c>
      <c r="C38" s="12">
        <f>C37/C36</f>
        <v/>
      </c>
      <c r="D38" s="12">
        <f>D37/D36</f>
        <v/>
      </c>
    </row>
    <row r="39">
      <c r="A39" s="10" t="inlineStr">
        <is>
          <t>Total annual</t>
        </is>
      </c>
      <c r="B39" s="13">
        <f>B36*12</f>
        <v/>
      </c>
      <c r="C39" s="13">
        <f>C36*12</f>
        <v/>
      </c>
      <c r="D39" s="13">
        <f>D36*12</f>
        <v/>
      </c>
    </row>
    <row r="41">
      <c r="A41" s="3" t="inlineStr">
        <is>
          <t>ONE-TIME COSTS (paid once, at/around the raise)</t>
        </is>
      </c>
      <c r="B41" s="4" t="n"/>
      <c r="C41" s="4" t="n"/>
      <c r="D41" s="4" t="n"/>
      <c r="E41" s="4" t="n"/>
    </row>
    <row r="42">
      <c r="A42" s="5" t="inlineStr">
        <is>
          <t>Item</t>
        </is>
      </c>
      <c r="B42" s="5" t="inlineStr">
        <is>
          <t>Amount</t>
        </is>
      </c>
      <c r="C42" s="5" t="inlineStr"/>
      <c r="D42" s="5" t="inlineStr"/>
      <c r="E42" s="5" t="inlineStr">
        <is>
          <t>Basis</t>
        </is>
      </c>
    </row>
    <row r="43">
      <c r="A43" t="inlineStr">
        <is>
          <t>Incorporation — Stripe Atlas</t>
        </is>
      </c>
      <c r="B43" s="14" t="n">
        <v>500</v>
      </c>
      <c r="E43" t="inlineStr">
        <is>
          <t>Delaware C-corp, incl. first-year registered agent + 83(b)</t>
        </is>
      </c>
    </row>
    <row r="44">
      <c r="A44" t="inlineStr">
        <is>
          <t>Pre-seed SAFE legal review</t>
        </is>
      </c>
      <c r="B44" s="14" t="n">
        <v>5000</v>
      </c>
      <c r="E44" t="inlineStr">
        <is>
          <t>YC SAFE docs are free; light counsel review $2–5k</t>
        </is>
      </c>
    </row>
    <row r="45">
      <c r="A45" t="inlineStr">
        <is>
          <t>IA/CTA regulatory memo</t>
        </is>
      </c>
      <c r="B45" s="14" t="n">
        <v>15000</v>
      </c>
      <c r="E45" t="inlineStr">
        <is>
          <t>Advisers Act publisher exclusion + CTA status for signal subscriptions ($5–25k range)</t>
        </is>
      </c>
    </row>
    <row r="46">
      <c r="A46" s="10" t="inlineStr">
        <is>
          <t>Total one-time</t>
        </is>
      </c>
      <c r="B46" s="15">
        <f>SUM(B43:B45)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24-month subscriber &amp; MRR projections (3 cases)</t>
        </is>
      </c>
    </row>
    <row r="2">
      <c r="A2" t="inlineStr">
        <is>
          <t>Driven by Assumptions drivers. Subs(m) = Subs(m-1) × (1 − churn) + New(m); New grows monthly up to a cap. MRR = Subs × ARPU.</t>
        </is>
      </c>
    </row>
    <row r="4">
      <c r="B4" s="2" t="inlineStr">
        <is>
          <t>Conservative</t>
        </is>
      </c>
      <c r="F4" s="2" t="inlineStr">
        <is>
          <t>Base</t>
        </is>
      </c>
      <c r="J4" s="2" t="inlineStr">
        <is>
          <t>Optimistic</t>
        </is>
      </c>
    </row>
    <row r="5">
      <c r="A5" s="10" t="inlineStr">
        <is>
          <t>Month</t>
        </is>
      </c>
      <c r="B5" s="5" t="inlineStr">
        <is>
          <t>New</t>
        </is>
      </c>
      <c r="C5" s="5" t="inlineStr">
        <is>
          <t>Subs</t>
        </is>
      </c>
      <c r="D5" s="5" t="inlineStr">
        <is>
          <t>MRR $</t>
        </is>
      </c>
      <c r="F5" s="5" t="inlineStr">
        <is>
          <t>New</t>
        </is>
      </c>
      <c r="G5" s="5" t="inlineStr">
        <is>
          <t>Subs</t>
        </is>
      </c>
      <c r="H5" s="5" t="inlineStr">
        <is>
          <t>MRR $</t>
        </is>
      </c>
      <c r="J5" s="5" t="inlineStr">
        <is>
          <t>New</t>
        </is>
      </c>
      <c r="K5" s="5" t="inlineStr">
        <is>
          <t>Subs</t>
        </is>
      </c>
      <c r="L5" s="5" t="inlineStr">
        <is>
          <t>MRR $</t>
        </is>
      </c>
    </row>
    <row r="6">
      <c r="A6" t="n">
        <v>1</v>
      </c>
      <c r="B6" s="14">
        <f>Assumptions!$B$63</f>
        <v/>
      </c>
      <c r="C6" s="14">
        <f>B6</f>
        <v/>
      </c>
      <c r="D6" s="14">
        <f>C6*Assumptions!$B$58</f>
        <v/>
      </c>
      <c r="F6" s="14">
        <f>Assumptions!$B$64</f>
        <v/>
      </c>
      <c r="G6" s="14">
        <f>F6</f>
        <v/>
      </c>
      <c r="H6" s="14">
        <f>G6*Assumptions!$B$58</f>
        <v/>
      </c>
      <c r="J6" s="14">
        <f>Assumptions!$B$67</f>
        <v/>
      </c>
      <c r="K6" s="14">
        <f>J6</f>
        <v/>
      </c>
      <c r="L6" s="14">
        <f>K6*Assumptions!$B$58</f>
        <v/>
      </c>
    </row>
    <row r="7">
      <c r="A7" t="n">
        <v>2</v>
      </c>
      <c r="B7" s="14">
        <f>B6</f>
        <v/>
      </c>
      <c r="C7" s="14">
        <f>C6*(1-Assumptions!$B$61)+B7</f>
        <v/>
      </c>
      <c r="D7" s="14">
        <f>C7*Assumptions!$B$58</f>
        <v/>
      </c>
      <c r="F7" s="14">
        <f>MIN(Assumptions!$B$66,F6*(1+Assumptions!$B$65))</f>
        <v/>
      </c>
      <c r="G7" s="14">
        <f>G6*(1-Assumptions!$B$61)+F7</f>
        <v/>
      </c>
      <c r="H7" s="14">
        <f>G7*Assumptions!$B$58</f>
        <v/>
      </c>
      <c r="J7" s="14">
        <f>MIN(Assumptions!$B$69,J6*(1+Assumptions!$B$68))</f>
        <v/>
      </c>
      <c r="K7" s="14">
        <f>K6*(1-Assumptions!$B$62)+J7</f>
        <v/>
      </c>
      <c r="L7" s="14">
        <f>K7*Assumptions!$B$58</f>
        <v/>
      </c>
    </row>
    <row r="8">
      <c r="A8" t="n">
        <v>3</v>
      </c>
      <c r="B8" s="14">
        <f>B7</f>
        <v/>
      </c>
      <c r="C8" s="14">
        <f>C7*(1-Assumptions!$B$61)+B8</f>
        <v/>
      </c>
      <c r="D8" s="14">
        <f>C8*Assumptions!$B$58</f>
        <v/>
      </c>
      <c r="F8" s="14">
        <f>MIN(Assumptions!$B$66,F7*(1+Assumptions!$B$65))</f>
        <v/>
      </c>
      <c r="G8" s="14">
        <f>G7*(1-Assumptions!$B$61)+F8</f>
        <v/>
      </c>
      <c r="H8" s="14">
        <f>G8*Assumptions!$B$58</f>
        <v/>
      </c>
      <c r="J8" s="14">
        <f>MIN(Assumptions!$B$69,J7*(1+Assumptions!$B$68))</f>
        <v/>
      </c>
      <c r="K8" s="14">
        <f>K7*(1-Assumptions!$B$62)+J8</f>
        <v/>
      </c>
      <c r="L8" s="14">
        <f>K8*Assumptions!$B$58</f>
        <v/>
      </c>
    </row>
    <row r="9">
      <c r="A9" t="n">
        <v>4</v>
      </c>
      <c r="B9" s="14">
        <f>B8</f>
        <v/>
      </c>
      <c r="C9" s="14">
        <f>C8*(1-Assumptions!$B$61)+B9</f>
        <v/>
      </c>
      <c r="D9" s="14">
        <f>C9*Assumptions!$B$58</f>
        <v/>
      </c>
      <c r="F9" s="14">
        <f>MIN(Assumptions!$B$66,F8*(1+Assumptions!$B$65))</f>
        <v/>
      </c>
      <c r="G9" s="14">
        <f>G8*(1-Assumptions!$B$61)+F9</f>
        <v/>
      </c>
      <c r="H9" s="14">
        <f>G9*Assumptions!$B$58</f>
        <v/>
      </c>
      <c r="J9" s="14">
        <f>MIN(Assumptions!$B$69,J8*(1+Assumptions!$B$68))</f>
        <v/>
      </c>
      <c r="K9" s="14">
        <f>K8*(1-Assumptions!$B$62)+J9</f>
        <v/>
      </c>
      <c r="L9" s="14">
        <f>K9*Assumptions!$B$58</f>
        <v/>
      </c>
    </row>
    <row r="10">
      <c r="A10" t="n">
        <v>5</v>
      </c>
      <c r="B10" s="14">
        <f>B9</f>
        <v/>
      </c>
      <c r="C10" s="14">
        <f>C9*(1-Assumptions!$B$61)+B10</f>
        <v/>
      </c>
      <c r="D10" s="14">
        <f>C10*Assumptions!$B$58</f>
        <v/>
      </c>
      <c r="F10" s="14">
        <f>MIN(Assumptions!$B$66,F9*(1+Assumptions!$B$65))</f>
        <v/>
      </c>
      <c r="G10" s="14">
        <f>G9*(1-Assumptions!$B$61)+F10</f>
        <v/>
      </c>
      <c r="H10" s="14">
        <f>G10*Assumptions!$B$58</f>
        <v/>
      </c>
      <c r="J10" s="14">
        <f>MIN(Assumptions!$B$69,J9*(1+Assumptions!$B$68))</f>
        <v/>
      </c>
      <c r="K10" s="14">
        <f>K9*(1-Assumptions!$B$62)+J10</f>
        <v/>
      </c>
      <c r="L10" s="14">
        <f>K10*Assumptions!$B$58</f>
        <v/>
      </c>
    </row>
    <row r="11">
      <c r="A11" t="n">
        <v>6</v>
      </c>
      <c r="B11" s="14">
        <f>B10</f>
        <v/>
      </c>
      <c r="C11" s="14">
        <f>C10*(1-Assumptions!$B$61)+B11</f>
        <v/>
      </c>
      <c r="D11" s="14">
        <f>C11*Assumptions!$B$58</f>
        <v/>
      </c>
      <c r="F11" s="14">
        <f>MIN(Assumptions!$B$66,F10*(1+Assumptions!$B$65))</f>
        <v/>
      </c>
      <c r="G11" s="14">
        <f>G10*(1-Assumptions!$B$61)+F11</f>
        <v/>
      </c>
      <c r="H11" s="14">
        <f>G11*Assumptions!$B$58</f>
        <v/>
      </c>
      <c r="J11" s="14">
        <f>MIN(Assumptions!$B$69,J10*(1+Assumptions!$B$68))</f>
        <v/>
      </c>
      <c r="K11" s="14">
        <f>K10*(1-Assumptions!$B$62)+J11</f>
        <v/>
      </c>
      <c r="L11" s="14">
        <f>K11*Assumptions!$B$58</f>
        <v/>
      </c>
    </row>
    <row r="12">
      <c r="A12" t="n">
        <v>7</v>
      </c>
      <c r="B12" s="14">
        <f>B11</f>
        <v/>
      </c>
      <c r="C12" s="14">
        <f>C11*(1-Assumptions!$B$61)+B12</f>
        <v/>
      </c>
      <c r="D12" s="14">
        <f>C12*Assumptions!$B$58</f>
        <v/>
      </c>
      <c r="F12" s="14">
        <f>MIN(Assumptions!$B$66,F11*(1+Assumptions!$B$65))</f>
        <v/>
      </c>
      <c r="G12" s="14">
        <f>G11*(1-Assumptions!$B$61)+F12</f>
        <v/>
      </c>
      <c r="H12" s="14">
        <f>G12*Assumptions!$B$58</f>
        <v/>
      </c>
      <c r="J12" s="14">
        <f>MIN(Assumptions!$B$69,J11*(1+Assumptions!$B$68))</f>
        <v/>
      </c>
      <c r="K12" s="14">
        <f>K11*(1-Assumptions!$B$62)+J12</f>
        <v/>
      </c>
      <c r="L12" s="14">
        <f>K12*Assumptions!$B$58</f>
        <v/>
      </c>
    </row>
    <row r="13">
      <c r="A13" t="n">
        <v>8</v>
      </c>
      <c r="B13" s="14">
        <f>B12</f>
        <v/>
      </c>
      <c r="C13" s="14">
        <f>C12*(1-Assumptions!$B$61)+B13</f>
        <v/>
      </c>
      <c r="D13" s="14">
        <f>C13*Assumptions!$B$58</f>
        <v/>
      </c>
      <c r="F13" s="14">
        <f>MIN(Assumptions!$B$66,F12*(1+Assumptions!$B$65))</f>
        <v/>
      </c>
      <c r="G13" s="14">
        <f>G12*(1-Assumptions!$B$61)+F13</f>
        <v/>
      </c>
      <c r="H13" s="14">
        <f>G13*Assumptions!$B$58</f>
        <v/>
      </c>
      <c r="J13" s="14">
        <f>MIN(Assumptions!$B$69,J12*(1+Assumptions!$B$68))</f>
        <v/>
      </c>
      <c r="K13" s="14">
        <f>K12*(1-Assumptions!$B$62)+J13</f>
        <v/>
      </c>
      <c r="L13" s="14">
        <f>K13*Assumptions!$B$58</f>
        <v/>
      </c>
    </row>
    <row r="14">
      <c r="A14" t="n">
        <v>9</v>
      </c>
      <c r="B14" s="14">
        <f>B13</f>
        <v/>
      </c>
      <c r="C14" s="14">
        <f>C13*(1-Assumptions!$B$61)+B14</f>
        <v/>
      </c>
      <c r="D14" s="14">
        <f>C14*Assumptions!$B$58</f>
        <v/>
      </c>
      <c r="F14" s="14">
        <f>MIN(Assumptions!$B$66,F13*(1+Assumptions!$B$65))</f>
        <v/>
      </c>
      <c r="G14" s="14">
        <f>G13*(1-Assumptions!$B$61)+F14</f>
        <v/>
      </c>
      <c r="H14" s="14">
        <f>G14*Assumptions!$B$58</f>
        <v/>
      </c>
      <c r="J14" s="14">
        <f>MIN(Assumptions!$B$69,J13*(1+Assumptions!$B$68))</f>
        <v/>
      </c>
      <c r="K14" s="14">
        <f>K13*(1-Assumptions!$B$62)+J14</f>
        <v/>
      </c>
      <c r="L14" s="14">
        <f>K14*Assumptions!$B$58</f>
        <v/>
      </c>
    </row>
    <row r="15">
      <c r="A15" t="n">
        <v>10</v>
      </c>
      <c r="B15" s="14">
        <f>B14</f>
        <v/>
      </c>
      <c r="C15" s="14">
        <f>C14*(1-Assumptions!$B$61)+B15</f>
        <v/>
      </c>
      <c r="D15" s="14">
        <f>C15*Assumptions!$B$58</f>
        <v/>
      </c>
      <c r="F15" s="14">
        <f>MIN(Assumptions!$B$66,F14*(1+Assumptions!$B$65))</f>
        <v/>
      </c>
      <c r="G15" s="14">
        <f>G14*(1-Assumptions!$B$61)+F15</f>
        <v/>
      </c>
      <c r="H15" s="14">
        <f>G15*Assumptions!$B$58</f>
        <v/>
      </c>
      <c r="J15" s="14">
        <f>MIN(Assumptions!$B$69,J14*(1+Assumptions!$B$68))</f>
        <v/>
      </c>
      <c r="K15" s="14">
        <f>K14*(1-Assumptions!$B$62)+J15</f>
        <v/>
      </c>
      <c r="L15" s="14">
        <f>K15*Assumptions!$B$58</f>
        <v/>
      </c>
    </row>
    <row r="16">
      <c r="A16" t="n">
        <v>11</v>
      </c>
      <c r="B16" s="14">
        <f>B15</f>
        <v/>
      </c>
      <c r="C16" s="14">
        <f>C15*(1-Assumptions!$B$61)+B16</f>
        <v/>
      </c>
      <c r="D16" s="14">
        <f>C16*Assumptions!$B$58</f>
        <v/>
      </c>
      <c r="F16" s="14">
        <f>MIN(Assumptions!$B$66,F15*(1+Assumptions!$B$65))</f>
        <v/>
      </c>
      <c r="G16" s="14">
        <f>G15*(1-Assumptions!$B$61)+F16</f>
        <v/>
      </c>
      <c r="H16" s="14">
        <f>G16*Assumptions!$B$58</f>
        <v/>
      </c>
      <c r="J16" s="14">
        <f>MIN(Assumptions!$B$69,J15*(1+Assumptions!$B$68))</f>
        <v/>
      </c>
      <c r="K16" s="14">
        <f>K15*(1-Assumptions!$B$62)+J16</f>
        <v/>
      </c>
      <c r="L16" s="14">
        <f>K16*Assumptions!$B$58</f>
        <v/>
      </c>
    </row>
    <row r="17">
      <c r="A17" t="n">
        <v>12</v>
      </c>
      <c r="B17" s="14">
        <f>B16</f>
        <v/>
      </c>
      <c r="C17" s="14">
        <f>C16*(1-Assumptions!$B$61)+B17</f>
        <v/>
      </c>
      <c r="D17" s="14">
        <f>C17*Assumptions!$B$58</f>
        <v/>
      </c>
      <c r="F17" s="14">
        <f>MIN(Assumptions!$B$66,F16*(1+Assumptions!$B$65))</f>
        <v/>
      </c>
      <c r="G17" s="14">
        <f>G16*(1-Assumptions!$B$61)+F17</f>
        <v/>
      </c>
      <c r="H17" s="14">
        <f>G17*Assumptions!$B$58</f>
        <v/>
      </c>
      <c r="J17" s="14">
        <f>MIN(Assumptions!$B$69,J16*(1+Assumptions!$B$68))</f>
        <v/>
      </c>
      <c r="K17" s="14">
        <f>K16*(1-Assumptions!$B$62)+J17</f>
        <v/>
      </c>
      <c r="L17" s="14">
        <f>K17*Assumptions!$B$58</f>
        <v/>
      </c>
    </row>
    <row r="18">
      <c r="A18" t="n">
        <v>13</v>
      </c>
      <c r="B18" s="14">
        <f>B17</f>
        <v/>
      </c>
      <c r="C18" s="14">
        <f>C17*(1-Assumptions!$B$61)+B18</f>
        <v/>
      </c>
      <c r="D18" s="14">
        <f>C18*Assumptions!$B$58</f>
        <v/>
      </c>
      <c r="F18" s="14">
        <f>MIN(Assumptions!$B$66,F17*(1+Assumptions!$B$65))</f>
        <v/>
      </c>
      <c r="G18" s="14">
        <f>G17*(1-Assumptions!$B$61)+F18</f>
        <v/>
      </c>
      <c r="H18" s="14">
        <f>G18*Assumptions!$B$58</f>
        <v/>
      </c>
      <c r="J18" s="14">
        <f>MIN(Assumptions!$B$69,J17*(1+Assumptions!$B$68))</f>
        <v/>
      </c>
      <c r="K18" s="14">
        <f>K17*(1-Assumptions!$B$62)+J18</f>
        <v/>
      </c>
      <c r="L18" s="14">
        <f>K18*Assumptions!$B$58</f>
        <v/>
      </c>
    </row>
    <row r="19">
      <c r="A19" t="n">
        <v>14</v>
      </c>
      <c r="B19" s="14">
        <f>B18</f>
        <v/>
      </c>
      <c r="C19" s="14">
        <f>C18*(1-Assumptions!$B$61)+B19</f>
        <v/>
      </c>
      <c r="D19" s="14">
        <f>C19*Assumptions!$B$58</f>
        <v/>
      </c>
      <c r="F19" s="14">
        <f>MIN(Assumptions!$B$66,F18*(1+Assumptions!$B$65))</f>
        <v/>
      </c>
      <c r="G19" s="14">
        <f>G18*(1-Assumptions!$B$61)+F19</f>
        <v/>
      </c>
      <c r="H19" s="14">
        <f>G19*Assumptions!$B$58</f>
        <v/>
      </c>
      <c r="J19" s="14">
        <f>MIN(Assumptions!$B$69,J18*(1+Assumptions!$B$68))</f>
        <v/>
      </c>
      <c r="K19" s="14">
        <f>K18*(1-Assumptions!$B$62)+J19</f>
        <v/>
      </c>
      <c r="L19" s="14">
        <f>K19*Assumptions!$B$58</f>
        <v/>
      </c>
    </row>
    <row r="20">
      <c r="A20" t="n">
        <v>15</v>
      </c>
      <c r="B20" s="14">
        <f>B19</f>
        <v/>
      </c>
      <c r="C20" s="14">
        <f>C19*(1-Assumptions!$B$61)+B20</f>
        <v/>
      </c>
      <c r="D20" s="14">
        <f>C20*Assumptions!$B$58</f>
        <v/>
      </c>
      <c r="F20" s="14">
        <f>MIN(Assumptions!$B$66,F19*(1+Assumptions!$B$65))</f>
        <v/>
      </c>
      <c r="G20" s="14">
        <f>G19*(1-Assumptions!$B$61)+F20</f>
        <v/>
      </c>
      <c r="H20" s="14">
        <f>G20*Assumptions!$B$58</f>
        <v/>
      </c>
      <c r="J20" s="14">
        <f>MIN(Assumptions!$B$69,J19*(1+Assumptions!$B$68))</f>
        <v/>
      </c>
      <c r="K20" s="14">
        <f>K19*(1-Assumptions!$B$62)+J20</f>
        <v/>
      </c>
      <c r="L20" s="14">
        <f>K20*Assumptions!$B$58</f>
        <v/>
      </c>
    </row>
    <row r="21">
      <c r="A21" t="n">
        <v>16</v>
      </c>
      <c r="B21" s="14">
        <f>B20</f>
        <v/>
      </c>
      <c r="C21" s="14">
        <f>C20*(1-Assumptions!$B$61)+B21</f>
        <v/>
      </c>
      <c r="D21" s="14">
        <f>C21*Assumptions!$B$58</f>
        <v/>
      </c>
      <c r="F21" s="14">
        <f>MIN(Assumptions!$B$66,F20*(1+Assumptions!$B$65))</f>
        <v/>
      </c>
      <c r="G21" s="14">
        <f>G20*(1-Assumptions!$B$61)+F21</f>
        <v/>
      </c>
      <c r="H21" s="14">
        <f>G21*Assumptions!$B$58</f>
        <v/>
      </c>
      <c r="J21" s="14">
        <f>MIN(Assumptions!$B$69,J20*(1+Assumptions!$B$68))</f>
        <v/>
      </c>
      <c r="K21" s="14">
        <f>K20*(1-Assumptions!$B$62)+J21</f>
        <v/>
      </c>
      <c r="L21" s="14">
        <f>K21*Assumptions!$B$58</f>
        <v/>
      </c>
    </row>
    <row r="22">
      <c r="A22" t="n">
        <v>17</v>
      </c>
      <c r="B22" s="14">
        <f>B21</f>
        <v/>
      </c>
      <c r="C22" s="14">
        <f>C21*(1-Assumptions!$B$61)+B22</f>
        <v/>
      </c>
      <c r="D22" s="14">
        <f>C22*Assumptions!$B$58</f>
        <v/>
      </c>
      <c r="F22" s="14">
        <f>MIN(Assumptions!$B$66,F21*(1+Assumptions!$B$65))</f>
        <v/>
      </c>
      <c r="G22" s="14">
        <f>G21*(1-Assumptions!$B$61)+F22</f>
        <v/>
      </c>
      <c r="H22" s="14">
        <f>G22*Assumptions!$B$58</f>
        <v/>
      </c>
      <c r="J22" s="14">
        <f>MIN(Assumptions!$B$69,J21*(1+Assumptions!$B$68))</f>
        <v/>
      </c>
      <c r="K22" s="14">
        <f>K21*(1-Assumptions!$B$62)+J22</f>
        <v/>
      </c>
      <c r="L22" s="14">
        <f>K22*Assumptions!$B$58</f>
        <v/>
      </c>
    </row>
    <row r="23">
      <c r="A23" t="n">
        <v>18</v>
      </c>
      <c r="B23" s="14">
        <f>B22</f>
        <v/>
      </c>
      <c r="C23" s="14">
        <f>C22*(1-Assumptions!$B$61)+B23</f>
        <v/>
      </c>
      <c r="D23" s="14">
        <f>C23*Assumptions!$B$58</f>
        <v/>
      </c>
      <c r="F23" s="14">
        <f>MIN(Assumptions!$B$66,F22*(1+Assumptions!$B$65))</f>
        <v/>
      </c>
      <c r="G23" s="14">
        <f>G22*(1-Assumptions!$B$61)+F23</f>
        <v/>
      </c>
      <c r="H23" s="14">
        <f>G23*Assumptions!$B$58</f>
        <v/>
      </c>
      <c r="J23" s="14">
        <f>MIN(Assumptions!$B$69,J22*(1+Assumptions!$B$68))</f>
        <v/>
      </c>
      <c r="K23" s="14">
        <f>K22*(1-Assumptions!$B$62)+J23</f>
        <v/>
      </c>
      <c r="L23" s="14">
        <f>K23*Assumptions!$B$58</f>
        <v/>
      </c>
    </row>
    <row r="24">
      <c r="A24" t="n">
        <v>19</v>
      </c>
      <c r="B24" s="14">
        <f>B23</f>
        <v/>
      </c>
      <c r="C24" s="14">
        <f>C23*(1-Assumptions!$B$61)+B24</f>
        <v/>
      </c>
      <c r="D24" s="14">
        <f>C24*Assumptions!$B$58</f>
        <v/>
      </c>
      <c r="F24" s="14">
        <f>MIN(Assumptions!$B$66,F23*(1+Assumptions!$B$65))</f>
        <v/>
      </c>
      <c r="G24" s="14">
        <f>G23*(1-Assumptions!$B$61)+F24</f>
        <v/>
      </c>
      <c r="H24" s="14">
        <f>G24*Assumptions!$B$58</f>
        <v/>
      </c>
      <c r="J24" s="14">
        <f>MIN(Assumptions!$B$69,J23*(1+Assumptions!$B$68))</f>
        <v/>
      </c>
      <c r="K24" s="14">
        <f>K23*(1-Assumptions!$B$62)+J24</f>
        <v/>
      </c>
      <c r="L24" s="14">
        <f>K24*Assumptions!$B$58</f>
        <v/>
      </c>
    </row>
    <row r="25">
      <c r="A25" t="n">
        <v>20</v>
      </c>
      <c r="B25" s="14">
        <f>B24</f>
        <v/>
      </c>
      <c r="C25" s="14">
        <f>C24*(1-Assumptions!$B$61)+B25</f>
        <v/>
      </c>
      <c r="D25" s="14">
        <f>C25*Assumptions!$B$58</f>
        <v/>
      </c>
      <c r="F25" s="14">
        <f>MIN(Assumptions!$B$66,F24*(1+Assumptions!$B$65))</f>
        <v/>
      </c>
      <c r="G25" s="14">
        <f>G24*(1-Assumptions!$B$61)+F25</f>
        <v/>
      </c>
      <c r="H25" s="14">
        <f>G25*Assumptions!$B$58</f>
        <v/>
      </c>
      <c r="J25" s="14">
        <f>MIN(Assumptions!$B$69,J24*(1+Assumptions!$B$68))</f>
        <v/>
      </c>
      <c r="K25" s="14">
        <f>K24*(1-Assumptions!$B$62)+J25</f>
        <v/>
      </c>
      <c r="L25" s="14">
        <f>K25*Assumptions!$B$58</f>
        <v/>
      </c>
    </row>
    <row r="26">
      <c r="A26" t="n">
        <v>21</v>
      </c>
      <c r="B26" s="14">
        <f>B25</f>
        <v/>
      </c>
      <c r="C26" s="14">
        <f>C25*(1-Assumptions!$B$61)+B26</f>
        <v/>
      </c>
      <c r="D26" s="14">
        <f>C26*Assumptions!$B$58</f>
        <v/>
      </c>
      <c r="F26" s="14">
        <f>MIN(Assumptions!$B$66,F25*(1+Assumptions!$B$65))</f>
        <v/>
      </c>
      <c r="G26" s="14">
        <f>G25*(1-Assumptions!$B$61)+F26</f>
        <v/>
      </c>
      <c r="H26" s="14">
        <f>G26*Assumptions!$B$58</f>
        <v/>
      </c>
      <c r="J26" s="14">
        <f>MIN(Assumptions!$B$69,J25*(1+Assumptions!$B$68))</f>
        <v/>
      </c>
      <c r="K26" s="14">
        <f>K25*(1-Assumptions!$B$62)+J26</f>
        <v/>
      </c>
      <c r="L26" s="14">
        <f>K26*Assumptions!$B$58</f>
        <v/>
      </c>
    </row>
    <row r="27">
      <c r="A27" t="n">
        <v>22</v>
      </c>
      <c r="B27" s="14">
        <f>B26</f>
        <v/>
      </c>
      <c r="C27" s="14">
        <f>C26*(1-Assumptions!$B$61)+B27</f>
        <v/>
      </c>
      <c r="D27" s="14">
        <f>C27*Assumptions!$B$58</f>
        <v/>
      </c>
      <c r="F27" s="14">
        <f>MIN(Assumptions!$B$66,F26*(1+Assumptions!$B$65))</f>
        <v/>
      </c>
      <c r="G27" s="14">
        <f>G26*(1-Assumptions!$B$61)+F27</f>
        <v/>
      </c>
      <c r="H27" s="14">
        <f>G27*Assumptions!$B$58</f>
        <v/>
      </c>
      <c r="J27" s="14">
        <f>MIN(Assumptions!$B$69,J26*(1+Assumptions!$B$68))</f>
        <v/>
      </c>
      <c r="K27" s="14">
        <f>K26*(1-Assumptions!$B$62)+J27</f>
        <v/>
      </c>
      <c r="L27" s="14">
        <f>K27*Assumptions!$B$58</f>
        <v/>
      </c>
    </row>
    <row r="28">
      <c r="A28" t="n">
        <v>23</v>
      </c>
      <c r="B28" s="14">
        <f>B27</f>
        <v/>
      </c>
      <c r="C28" s="14">
        <f>C27*(1-Assumptions!$B$61)+B28</f>
        <v/>
      </c>
      <c r="D28" s="14">
        <f>C28*Assumptions!$B$58</f>
        <v/>
      </c>
      <c r="F28" s="14">
        <f>MIN(Assumptions!$B$66,F27*(1+Assumptions!$B$65))</f>
        <v/>
      </c>
      <c r="G28" s="14">
        <f>G27*(1-Assumptions!$B$61)+F28</f>
        <v/>
      </c>
      <c r="H28" s="14">
        <f>G28*Assumptions!$B$58</f>
        <v/>
      </c>
      <c r="J28" s="14">
        <f>MIN(Assumptions!$B$69,J27*(1+Assumptions!$B$68))</f>
        <v/>
      </c>
      <c r="K28" s="14">
        <f>K27*(1-Assumptions!$B$62)+J28</f>
        <v/>
      </c>
      <c r="L28" s="14">
        <f>K28*Assumptions!$B$58</f>
        <v/>
      </c>
    </row>
    <row r="29">
      <c r="A29" t="n">
        <v>24</v>
      </c>
      <c r="B29" s="14">
        <f>B28</f>
        <v/>
      </c>
      <c r="C29" s="14">
        <f>C28*(1-Assumptions!$B$61)+B29</f>
        <v/>
      </c>
      <c r="D29" s="14">
        <f>C29*Assumptions!$B$58</f>
        <v/>
      </c>
      <c r="F29" s="14">
        <f>MIN(Assumptions!$B$66,F28*(1+Assumptions!$B$65))</f>
        <v/>
      </c>
      <c r="G29" s="14">
        <f>G28*(1-Assumptions!$B$61)+F29</f>
        <v/>
      </c>
      <c r="H29" s="14">
        <f>G29*Assumptions!$B$58</f>
        <v/>
      </c>
      <c r="J29" s="14">
        <f>MIN(Assumptions!$B$69,J28*(1+Assumptions!$B$68))</f>
        <v/>
      </c>
      <c r="K29" s="14">
        <f>K28*(1-Assumptions!$B$62)+J29</f>
        <v/>
      </c>
      <c r="L29" s="14">
        <f>K29*Assumptions!$B$58</f>
        <v/>
      </c>
    </row>
    <row r="31">
      <c r="A31" s="10" t="inlineStr">
        <is>
          <t>Month-24 MRR</t>
        </is>
      </c>
      <c r="D31" s="15">
        <f>D29</f>
        <v/>
      </c>
      <c r="H31" s="15">
        <f>H29</f>
        <v/>
      </c>
      <c r="L31" s="15">
        <f>L29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Monthly P&amp;L — ML fine-tune plan × Base growth case (USD)</t>
        </is>
      </c>
    </row>
    <row r="2">
      <c r="A2" t="inlineStr">
        <is>
          <t>Accrual-style operating P&amp;L; one-time costs hit month 1. Model training shown as its own R&amp;D line. Cumulative cash drives the Raise tab.</t>
        </is>
      </c>
    </row>
    <row r="4">
      <c r="A4" s="16" t="inlineStr">
        <is>
          <t>Line</t>
        </is>
      </c>
      <c r="B4" s="16" t="inlineStr">
        <is>
          <t>M1</t>
        </is>
      </c>
      <c r="C4" s="16" t="inlineStr">
        <is>
          <t>M2</t>
        </is>
      </c>
      <c r="D4" s="16" t="inlineStr">
        <is>
          <t>M3</t>
        </is>
      </c>
      <c r="E4" s="16" t="inlineStr">
        <is>
          <t>M4</t>
        </is>
      </c>
      <c r="F4" s="16" t="inlineStr">
        <is>
          <t>M5</t>
        </is>
      </c>
      <c r="G4" s="16" t="inlineStr">
        <is>
          <t>M6</t>
        </is>
      </c>
      <c r="H4" s="16" t="inlineStr">
        <is>
          <t>M7</t>
        </is>
      </c>
      <c r="I4" s="16" t="inlineStr">
        <is>
          <t>M8</t>
        </is>
      </c>
      <c r="J4" s="16" t="inlineStr">
        <is>
          <t>M9</t>
        </is>
      </c>
      <c r="K4" s="16" t="inlineStr">
        <is>
          <t>M10</t>
        </is>
      </c>
      <c r="L4" s="16" t="inlineStr">
        <is>
          <t>M11</t>
        </is>
      </c>
      <c r="M4" s="16" t="inlineStr">
        <is>
          <t>M12</t>
        </is>
      </c>
      <c r="N4" s="16" t="inlineStr">
        <is>
          <t>M13</t>
        </is>
      </c>
      <c r="O4" s="16" t="inlineStr">
        <is>
          <t>M14</t>
        </is>
      </c>
      <c r="P4" s="16" t="inlineStr">
        <is>
          <t>M15</t>
        </is>
      </c>
      <c r="Q4" s="16" t="inlineStr">
        <is>
          <t>M16</t>
        </is>
      </c>
      <c r="R4" s="16" t="inlineStr">
        <is>
          <t>M17</t>
        </is>
      </c>
      <c r="S4" s="16" t="inlineStr">
        <is>
          <t>M18</t>
        </is>
      </c>
      <c r="T4" s="16" t="inlineStr">
        <is>
          <t>M19</t>
        </is>
      </c>
      <c r="U4" s="16" t="inlineStr">
        <is>
          <t>M20</t>
        </is>
      </c>
      <c r="V4" s="16" t="inlineStr">
        <is>
          <t>M21</t>
        </is>
      </c>
      <c r="W4" s="16" t="inlineStr">
        <is>
          <t>M22</t>
        </is>
      </c>
      <c r="X4" s="16" t="inlineStr">
        <is>
          <t>M23</t>
        </is>
      </c>
      <c r="Y4" s="16" t="inlineStr">
        <is>
          <t>M24</t>
        </is>
      </c>
    </row>
    <row r="5">
      <c r="A5" s="17" t="inlineStr">
        <is>
          <t>Subscribers (avg)</t>
        </is>
      </c>
      <c r="B5" s="14">
        <f>Projections!G6</f>
        <v/>
      </c>
      <c r="C5" s="14">
        <f>Projections!G7</f>
        <v/>
      </c>
      <c r="D5" s="14">
        <f>Projections!G8</f>
        <v/>
      </c>
      <c r="E5" s="14">
        <f>Projections!G9</f>
        <v/>
      </c>
      <c r="F5" s="14">
        <f>Projections!G10</f>
        <v/>
      </c>
      <c r="G5" s="14">
        <f>Projections!G11</f>
        <v/>
      </c>
      <c r="H5" s="14">
        <f>Projections!G12</f>
        <v/>
      </c>
      <c r="I5" s="14">
        <f>Projections!G13</f>
        <v/>
      </c>
      <c r="J5" s="14">
        <f>Projections!G14</f>
        <v/>
      </c>
      <c r="K5" s="14">
        <f>Projections!G15</f>
        <v/>
      </c>
      <c r="L5" s="14">
        <f>Projections!G16</f>
        <v/>
      </c>
      <c r="M5" s="14">
        <f>Projections!G17</f>
        <v/>
      </c>
      <c r="N5" s="14">
        <f>Projections!G18</f>
        <v/>
      </c>
      <c r="O5" s="14">
        <f>Projections!G19</f>
        <v/>
      </c>
      <c r="P5" s="14">
        <f>Projections!G20</f>
        <v/>
      </c>
      <c r="Q5" s="14">
        <f>Projections!G21</f>
        <v/>
      </c>
      <c r="R5" s="14">
        <f>Projections!G22</f>
        <v/>
      </c>
      <c r="S5" s="14">
        <f>Projections!G23</f>
        <v/>
      </c>
      <c r="T5" s="14">
        <f>Projections!G24</f>
        <v/>
      </c>
      <c r="U5" s="14">
        <f>Projections!G25</f>
        <v/>
      </c>
      <c r="V5" s="14">
        <f>Projections!G26</f>
        <v/>
      </c>
      <c r="W5" s="14">
        <f>Projections!G27</f>
        <v/>
      </c>
      <c r="X5" s="14">
        <f>Projections!G28</f>
        <v/>
      </c>
      <c r="Y5" s="14">
        <f>Projections!G29</f>
        <v/>
      </c>
    </row>
    <row r="6">
      <c r="A6" s="17" t="inlineStr">
        <is>
          <t>Revenue (MRR)</t>
        </is>
      </c>
      <c r="B6" s="14">
        <f>Projections!H6</f>
        <v/>
      </c>
      <c r="C6" s="14">
        <f>Projections!H7</f>
        <v/>
      </c>
      <c r="D6" s="14">
        <f>Projections!H8</f>
        <v/>
      </c>
      <c r="E6" s="14">
        <f>Projections!H9</f>
        <v/>
      </c>
      <c r="F6" s="14">
        <f>Projections!H10</f>
        <v/>
      </c>
      <c r="G6" s="14">
        <f>Projections!H11</f>
        <v/>
      </c>
      <c r="H6" s="14">
        <f>Projections!H12</f>
        <v/>
      </c>
      <c r="I6" s="14">
        <f>Projections!H13</f>
        <v/>
      </c>
      <c r="J6" s="14">
        <f>Projections!H14</f>
        <v/>
      </c>
      <c r="K6" s="14">
        <f>Projections!H15</f>
        <v/>
      </c>
      <c r="L6" s="14">
        <f>Projections!H16</f>
        <v/>
      </c>
      <c r="M6" s="14">
        <f>Projections!H17</f>
        <v/>
      </c>
      <c r="N6" s="14">
        <f>Projections!H18</f>
        <v/>
      </c>
      <c r="O6" s="14">
        <f>Projections!H19</f>
        <v/>
      </c>
      <c r="P6" s="14">
        <f>Projections!H20</f>
        <v/>
      </c>
      <c r="Q6" s="14">
        <f>Projections!H21</f>
        <v/>
      </c>
      <c r="R6" s="14">
        <f>Projections!H22</f>
        <v/>
      </c>
      <c r="S6" s="14">
        <f>Projections!H23</f>
        <v/>
      </c>
      <c r="T6" s="14">
        <f>Projections!H24</f>
        <v/>
      </c>
      <c r="U6" s="14">
        <f>Projections!H25</f>
        <v/>
      </c>
      <c r="V6" s="14">
        <f>Projections!H26</f>
        <v/>
      </c>
      <c r="W6" s="14">
        <f>Projections!H27</f>
        <v/>
      </c>
      <c r="X6" s="14">
        <f>Projections!H28</f>
        <v/>
      </c>
      <c r="Y6" s="14">
        <f>Projections!H29</f>
        <v/>
      </c>
    </row>
    <row r="7">
      <c r="A7" s="17" t="inlineStr">
        <is>
          <t>Stripe fees</t>
        </is>
      </c>
      <c r="B7" s="14">
        <f>-(B6*Assumptions!$B$59+B5*Assumptions!$B$60)</f>
        <v/>
      </c>
      <c r="C7" s="14">
        <f>-(C6*Assumptions!$B$59+C5*Assumptions!$B$60)</f>
        <v/>
      </c>
      <c r="D7" s="14">
        <f>-(D6*Assumptions!$B$59+D5*Assumptions!$B$60)</f>
        <v/>
      </c>
      <c r="E7" s="14">
        <f>-(E6*Assumptions!$B$59+E5*Assumptions!$B$60)</f>
        <v/>
      </c>
      <c r="F7" s="14">
        <f>-(F6*Assumptions!$B$59+F5*Assumptions!$B$60)</f>
        <v/>
      </c>
      <c r="G7" s="14">
        <f>-(G6*Assumptions!$B$59+G5*Assumptions!$B$60)</f>
        <v/>
      </c>
      <c r="H7" s="14">
        <f>-(H6*Assumptions!$B$59+H5*Assumptions!$B$60)</f>
        <v/>
      </c>
      <c r="I7" s="14">
        <f>-(I6*Assumptions!$B$59+I5*Assumptions!$B$60)</f>
        <v/>
      </c>
      <c r="J7" s="14">
        <f>-(J6*Assumptions!$B$59+J5*Assumptions!$B$60)</f>
        <v/>
      </c>
      <c r="K7" s="14">
        <f>-(K6*Assumptions!$B$59+K5*Assumptions!$B$60)</f>
        <v/>
      </c>
      <c r="L7" s="14">
        <f>-(L6*Assumptions!$B$59+L5*Assumptions!$B$60)</f>
        <v/>
      </c>
      <c r="M7" s="14">
        <f>-(M6*Assumptions!$B$59+M5*Assumptions!$B$60)</f>
        <v/>
      </c>
      <c r="N7" s="14">
        <f>-(N6*Assumptions!$B$59+N5*Assumptions!$B$60)</f>
        <v/>
      </c>
      <c r="O7" s="14">
        <f>-(O6*Assumptions!$B$59+O5*Assumptions!$B$60)</f>
        <v/>
      </c>
      <c r="P7" s="14">
        <f>-(P6*Assumptions!$B$59+P5*Assumptions!$B$60)</f>
        <v/>
      </c>
      <c r="Q7" s="14">
        <f>-(Q6*Assumptions!$B$59+Q5*Assumptions!$B$60)</f>
        <v/>
      </c>
      <c r="R7" s="14">
        <f>-(R6*Assumptions!$B$59+R5*Assumptions!$B$60)</f>
        <v/>
      </c>
      <c r="S7" s="14">
        <f>-(S6*Assumptions!$B$59+S5*Assumptions!$B$60)</f>
        <v/>
      </c>
      <c r="T7" s="14">
        <f>-(T6*Assumptions!$B$59+T5*Assumptions!$B$60)</f>
        <v/>
      </c>
      <c r="U7" s="14">
        <f>-(U6*Assumptions!$B$59+U5*Assumptions!$B$60)</f>
        <v/>
      </c>
      <c r="V7" s="14">
        <f>-(V6*Assumptions!$B$59+V5*Assumptions!$B$60)</f>
        <v/>
      </c>
      <c r="W7" s="14">
        <f>-(W6*Assumptions!$B$59+W5*Assumptions!$B$60)</f>
        <v/>
      </c>
      <c r="X7" s="14">
        <f>-(X6*Assumptions!$B$59+X5*Assumptions!$B$60)</f>
        <v/>
      </c>
      <c r="Y7" s="14">
        <f>-(Y6*Assumptions!$B$59+Y5*Assumptions!$B$60)</f>
        <v/>
      </c>
    </row>
    <row r="8">
      <c r="A8" s="10" t="inlineStr">
        <is>
          <t>Net revenue</t>
        </is>
      </c>
      <c r="B8" s="14">
        <f>B6+B7</f>
        <v/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M6+M7</f>
        <v/>
      </c>
      <c r="N8" s="14">
        <f>N6+N7</f>
        <v/>
      </c>
      <c r="O8" s="14">
        <f>O6+O7</f>
        <v/>
      </c>
      <c r="P8" s="14">
        <f>P6+P7</f>
        <v/>
      </c>
      <c r="Q8" s="14">
        <f>Q6+Q7</f>
        <v/>
      </c>
      <c r="R8" s="14">
        <f>R6+R7</f>
        <v/>
      </c>
      <c r="S8" s="14">
        <f>S6+S7</f>
        <v/>
      </c>
      <c r="T8" s="14">
        <f>T6+T7</f>
        <v/>
      </c>
      <c r="U8" s="14">
        <f>U6+U7</f>
        <v/>
      </c>
      <c r="V8" s="14">
        <f>V6+V7</f>
        <v/>
      </c>
      <c r="W8" s="14">
        <f>W6+W7</f>
        <v/>
      </c>
      <c r="X8" s="14">
        <f>X6+X7</f>
        <v/>
      </c>
      <c r="Y8" s="14">
        <f>Y6+Y7</f>
        <v/>
      </c>
    </row>
    <row r="9">
      <c r="A9" s="17" t="inlineStr">
        <is>
          <t>COGS — serving infra + APIs</t>
        </is>
      </c>
      <c r="B9" s="14">
        <f>-(SUM(Costs!$C$6:$C$11)+SUM(Costs!$C$20:$C$22))</f>
        <v/>
      </c>
      <c r="C9" s="14">
        <f>-(SUM(Costs!$C$6:$C$11)+SUM(Costs!$C$20:$C$22))</f>
        <v/>
      </c>
      <c r="D9" s="14">
        <f>-(SUM(Costs!$C$6:$C$11)+SUM(Costs!$C$20:$C$22))</f>
        <v/>
      </c>
      <c r="E9" s="14">
        <f>-(SUM(Costs!$C$6:$C$11)+SUM(Costs!$C$20:$C$22))</f>
        <v/>
      </c>
      <c r="F9" s="14">
        <f>-(SUM(Costs!$C$6:$C$11)+SUM(Costs!$C$20:$C$22))</f>
        <v/>
      </c>
      <c r="G9" s="14">
        <f>-(SUM(Costs!$C$6:$C$11)+SUM(Costs!$C$20:$C$22))</f>
        <v/>
      </c>
      <c r="H9" s="14">
        <f>-(SUM(Costs!$C$6:$C$11)+SUM(Costs!$C$20:$C$22))</f>
        <v/>
      </c>
      <c r="I9" s="14">
        <f>-(SUM(Costs!$C$6:$C$11)+SUM(Costs!$C$20:$C$22))</f>
        <v/>
      </c>
      <c r="J9" s="14">
        <f>-(SUM(Costs!$C$6:$C$11)+SUM(Costs!$C$20:$C$22))</f>
        <v/>
      </c>
      <c r="K9" s="14">
        <f>-(SUM(Costs!$C$6:$C$11)+SUM(Costs!$C$20:$C$22))</f>
        <v/>
      </c>
      <c r="L9" s="14">
        <f>-(SUM(Costs!$C$6:$C$11)+SUM(Costs!$C$20:$C$22))</f>
        <v/>
      </c>
      <c r="M9" s="14">
        <f>-(SUM(Costs!$C$6:$C$11)+SUM(Costs!$C$20:$C$22))</f>
        <v/>
      </c>
      <c r="N9" s="14">
        <f>-(SUM(Costs!$C$6:$C$11)+SUM(Costs!$C$20:$C$22))</f>
        <v/>
      </c>
      <c r="O9" s="14">
        <f>-(SUM(Costs!$C$6:$C$11)+SUM(Costs!$C$20:$C$22))</f>
        <v/>
      </c>
      <c r="P9" s="14">
        <f>-(SUM(Costs!$C$6:$C$11)+SUM(Costs!$C$20:$C$22))</f>
        <v/>
      </c>
      <c r="Q9" s="14">
        <f>-(SUM(Costs!$C$6:$C$11)+SUM(Costs!$C$20:$C$22))</f>
        <v/>
      </c>
      <c r="R9" s="14">
        <f>-(SUM(Costs!$C$6:$C$11)+SUM(Costs!$C$20:$C$22))</f>
        <v/>
      </c>
      <c r="S9" s="14">
        <f>-(SUM(Costs!$C$6:$C$11)+SUM(Costs!$C$20:$C$22))</f>
        <v/>
      </c>
      <c r="T9" s="14">
        <f>-(SUM(Costs!$C$6:$C$11)+SUM(Costs!$C$20:$C$22))</f>
        <v/>
      </c>
      <c r="U9" s="14">
        <f>-(SUM(Costs!$C$6:$C$11)+SUM(Costs!$C$20:$C$22))</f>
        <v/>
      </c>
      <c r="V9" s="14">
        <f>-(SUM(Costs!$C$6:$C$11)+SUM(Costs!$C$20:$C$22))</f>
        <v/>
      </c>
      <c r="W9" s="14">
        <f>-(SUM(Costs!$C$6:$C$11)+SUM(Costs!$C$20:$C$22))</f>
        <v/>
      </c>
      <c r="X9" s="14">
        <f>-(SUM(Costs!$C$6:$C$11)+SUM(Costs!$C$20:$C$22))</f>
        <v/>
      </c>
      <c r="Y9" s="14">
        <f>-(SUM(Costs!$C$6:$C$11)+SUM(Costs!$C$20:$C$22))</f>
        <v/>
      </c>
    </row>
    <row r="10">
      <c r="A10" s="10" t="inlineStr">
        <is>
          <t>Gross profit</t>
        </is>
      </c>
      <c r="B10" s="14">
        <f>B8+B9</f>
        <v/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  <c r="H10" s="14">
        <f>H8+H9</f>
        <v/>
      </c>
      <c r="I10" s="14">
        <f>I8+I9</f>
        <v/>
      </c>
      <c r="J10" s="14">
        <f>J8+J9</f>
        <v/>
      </c>
      <c r="K10" s="14">
        <f>K8+K9</f>
        <v/>
      </c>
      <c r="L10" s="14">
        <f>L8+L9</f>
        <v/>
      </c>
      <c r="M10" s="14">
        <f>M8+M9</f>
        <v/>
      </c>
      <c r="N10" s="14">
        <f>N8+N9</f>
        <v/>
      </c>
      <c r="O10" s="14">
        <f>O8+O9</f>
        <v/>
      </c>
      <c r="P10" s="14">
        <f>P8+P9</f>
        <v/>
      </c>
      <c r="Q10" s="14">
        <f>Q8+Q9</f>
        <v/>
      </c>
      <c r="R10" s="14">
        <f>R8+R9</f>
        <v/>
      </c>
      <c r="S10" s="14">
        <f>S8+S9</f>
        <v/>
      </c>
      <c r="T10" s="14">
        <f>T8+T9</f>
        <v/>
      </c>
      <c r="U10" s="14">
        <f>U8+U9</f>
        <v/>
      </c>
      <c r="V10" s="14">
        <f>V8+V9</f>
        <v/>
      </c>
      <c r="W10" s="14">
        <f>W8+W9</f>
        <v/>
      </c>
      <c r="X10" s="14">
        <f>X8+X9</f>
        <v/>
      </c>
      <c r="Y10" s="14">
        <f>Y8+Y9</f>
        <v/>
      </c>
    </row>
    <row r="11">
      <c r="A11" s="17" t="inlineStr">
        <is>
          <t>Gross margin %</t>
        </is>
      </c>
      <c r="B11" s="12">
        <f>IF(B6=0,0,B10/B6)</f>
        <v/>
      </c>
      <c r="C11" s="12">
        <f>IF(C6=0,0,C10/C6)</f>
        <v/>
      </c>
      <c r="D11" s="12">
        <f>IF(D6=0,0,D10/D6)</f>
        <v/>
      </c>
      <c r="E11" s="12">
        <f>IF(E6=0,0,E10/E6)</f>
        <v/>
      </c>
      <c r="F11" s="12">
        <f>IF(F6=0,0,F10/F6)</f>
        <v/>
      </c>
      <c r="G11" s="12">
        <f>IF(G6=0,0,G10/G6)</f>
        <v/>
      </c>
      <c r="H11" s="12">
        <f>IF(H6=0,0,H10/H6)</f>
        <v/>
      </c>
      <c r="I11" s="12">
        <f>IF(I6=0,0,I10/I6)</f>
        <v/>
      </c>
      <c r="J11" s="12">
        <f>IF(J6=0,0,J10/J6)</f>
        <v/>
      </c>
      <c r="K11" s="12">
        <f>IF(K6=0,0,K10/K6)</f>
        <v/>
      </c>
      <c r="L11" s="12">
        <f>IF(L6=0,0,L10/L6)</f>
        <v/>
      </c>
      <c r="M11" s="12">
        <f>IF(M6=0,0,M10/M6)</f>
        <v/>
      </c>
      <c r="N11" s="12">
        <f>IF(N6=0,0,N10/N6)</f>
        <v/>
      </c>
      <c r="O11" s="12">
        <f>IF(O6=0,0,O10/O6)</f>
        <v/>
      </c>
      <c r="P11" s="12">
        <f>IF(P6=0,0,P10/P6)</f>
        <v/>
      </c>
      <c r="Q11" s="12">
        <f>IF(Q6=0,0,Q10/Q6)</f>
        <v/>
      </c>
      <c r="R11" s="12">
        <f>IF(R6=0,0,R10/R6)</f>
        <v/>
      </c>
      <c r="S11" s="12">
        <f>IF(S6=0,0,S10/S6)</f>
        <v/>
      </c>
      <c r="T11" s="12">
        <f>IF(T6=0,0,T10/T6)</f>
        <v/>
      </c>
      <c r="U11" s="12">
        <f>IF(U6=0,0,U10/U6)</f>
        <v/>
      </c>
      <c r="V11" s="12">
        <f>IF(V6=0,0,V10/V6)</f>
        <v/>
      </c>
      <c r="W11" s="12">
        <f>IF(W6=0,0,W10/W6)</f>
        <v/>
      </c>
      <c r="X11" s="12">
        <f>IF(X6=0,0,X10/X6)</f>
        <v/>
      </c>
      <c r="Y11" s="12">
        <f>IF(Y6=0,0,Y10/Y6)</f>
        <v/>
      </c>
    </row>
    <row r="12">
      <c r="A12" s="17" t="inlineStr">
        <is>
          <t>R&amp;D — model training (AWS GPU)</t>
        </is>
      </c>
      <c r="B12" s="14">
        <f>-SUM(Costs!$C$13:$C$18)</f>
        <v/>
      </c>
      <c r="C12" s="14">
        <f>-SUM(Costs!$C$13:$C$18)</f>
        <v/>
      </c>
      <c r="D12" s="14">
        <f>-SUM(Costs!$C$13:$C$18)</f>
        <v/>
      </c>
      <c r="E12" s="14">
        <f>-SUM(Costs!$C$13:$C$18)</f>
        <v/>
      </c>
      <c r="F12" s="14">
        <f>-SUM(Costs!$C$13:$C$18)</f>
        <v/>
      </c>
      <c r="G12" s="14">
        <f>-SUM(Costs!$C$13:$C$18)</f>
        <v/>
      </c>
      <c r="H12" s="14">
        <f>-SUM(Costs!$C$13:$C$18)</f>
        <v/>
      </c>
      <c r="I12" s="14">
        <f>-SUM(Costs!$C$13:$C$18)</f>
        <v/>
      </c>
      <c r="J12" s="14">
        <f>-SUM(Costs!$C$13:$C$18)</f>
        <v/>
      </c>
      <c r="K12" s="14">
        <f>-SUM(Costs!$C$13:$C$18)</f>
        <v/>
      </c>
      <c r="L12" s="14">
        <f>-SUM(Costs!$C$13:$C$18)</f>
        <v/>
      </c>
      <c r="M12" s="14">
        <f>-SUM(Costs!$C$13:$C$18)</f>
        <v/>
      </c>
      <c r="N12" s="14">
        <f>-SUM(Costs!$C$13:$C$18)</f>
        <v/>
      </c>
      <c r="O12" s="14">
        <f>-SUM(Costs!$C$13:$C$18)</f>
        <v/>
      </c>
      <c r="P12" s="14">
        <f>-SUM(Costs!$C$13:$C$18)</f>
        <v/>
      </c>
      <c r="Q12" s="14">
        <f>-SUM(Costs!$C$13:$C$18)</f>
        <v/>
      </c>
      <c r="R12" s="14">
        <f>-SUM(Costs!$C$13:$C$18)</f>
        <v/>
      </c>
      <c r="S12" s="14">
        <f>-SUM(Costs!$C$13:$C$18)</f>
        <v/>
      </c>
      <c r="T12" s="14">
        <f>-SUM(Costs!$C$13:$C$18)</f>
        <v/>
      </c>
      <c r="U12" s="14">
        <f>-SUM(Costs!$C$13:$C$18)</f>
        <v/>
      </c>
      <c r="V12" s="14">
        <f>-SUM(Costs!$C$13:$C$18)</f>
        <v/>
      </c>
      <c r="W12" s="14">
        <f>-SUM(Costs!$C$13:$C$18)</f>
        <v/>
      </c>
      <c r="X12" s="14">
        <f>-SUM(Costs!$C$13:$C$18)</f>
        <v/>
      </c>
      <c r="Y12" s="14">
        <f>-SUM(Costs!$C$13:$C$18)</f>
        <v/>
      </c>
    </row>
    <row r="13">
      <c r="A13" s="17" t="inlineStr">
        <is>
          <t>Opex — people &amp; professional</t>
        </is>
      </c>
      <c r="B13" s="14">
        <f>-SUM(Costs!$C$30:$C$33)</f>
        <v/>
      </c>
      <c r="C13" s="14">
        <f>-SUM(Costs!$C$30:$C$33)</f>
        <v/>
      </c>
      <c r="D13" s="14">
        <f>-SUM(Costs!$C$30:$C$33)</f>
        <v/>
      </c>
      <c r="E13" s="14">
        <f>-SUM(Costs!$C$30:$C$33)</f>
        <v/>
      </c>
      <c r="F13" s="14">
        <f>-SUM(Costs!$C$30:$C$33)</f>
        <v/>
      </c>
      <c r="G13" s="14">
        <f>-SUM(Costs!$C$30:$C$33)</f>
        <v/>
      </c>
      <c r="H13" s="14">
        <f>-SUM(Costs!$C$30:$C$33)</f>
        <v/>
      </c>
      <c r="I13" s="14">
        <f>-SUM(Costs!$C$30:$C$33)</f>
        <v/>
      </c>
      <c r="J13" s="14">
        <f>-SUM(Costs!$C$30:$C$33)</f>
        <v/>
      </c>
      <c r="K13" s="14">
        <f>-SUM(Costs!$C$30:$C$33)</f>
        <v/>
      </c>
      <c r="L13" s="14">
        <f>-SUM(Costs!$C$30:$C$33)</f>
        <v/>
      </c>
      <c r="M13" s="14">
        <f>-SUM(Costs!$C$30:$C$33)</f>
        <v/>
      </c>
      <c r="N13" s="14">
        <f>-SUM(Costs!$C$30:$C$33)</f>
        <v/>
      </c>
      <c r="O13" s="14">
        <f>-SUM(Costs!$C$30:$C$33)</f>
        <v/>
      </c>
      <c r="P13" s="14">
        <f>-SUM(Costs!$C$30:$C$33)</f>
        <v/>
      </c>
      <c r="Q13" s="14">
        <f>-SUM(Costs!$C$30:$C$33)</f>
        <v/>
      </c>
      <c r="R13" s="14">
        <f>-SUM(Costs!$C$30:$C$33)</f>
        <v/>
      </c>
      <c r="S13" s="14">
        <f>-SUM(Costs!$C$30:$C$33)</f>
        <v/>
      </c>
      <c r="T13" s="14">
        <f>-SUM(Costs!$C$30:$C$33)</f>
        <v/>
      </c>
      <c r="U13" s="14">
        <f>-SUM(Costs!$C$30:$C$33)</f>
        <v/>
      </c>
      <c r="V13" s="14">
        <f>-SUM(Costs!$C$30:$C$33)</f>
        <v/>
      </c>
      <c r="W13" s="14">
        <f>-SUM(Costs!$C$30:$C$33)</f>
        <v/>
      </c>
      <c r="X13" s="14">
        <f>-SUM(Costs!$C$30:$C$33)</f>
        <v/>
      </c>
      <c r="Y13" s="14">
        <f>-SUM(Costs!$C$30:$C$33)</f>
        <v/>
      </c>
    </row>
    <row r="14">
      <c r="A14" s="17" t="inlineStr">
        <is>
          <t>Opex — SaaS &amp; tooling</t>
        </is>
      </c>
      <c r="B14" s="14">
        <f>-SUM(Costs!$C$24:$C$28)</f>
        <v/>
      </c>
      <c r="C14" s="14">
        <f>-SUM(Costs!$C$24:$C$28)</f>
        <v/>
      </c>
      <c r="D14" s="14">
        <f>-SUM(Costs!$C$24:$C$28)</f>
        <v/>
      </c>
      <c r="E14" s="14">
        <f>-SUM(Costs!$C$24:$C$28)</f>
        <v/>
      </c>
      <c r="F14" s="14">
        <f>-SUM(Costs!$C$24:$C$28)</f>
        <v/>
      </c>
      <c r="G14" s="14">
        <f>-SUM(Costs!$C$24:$C$28)</f>
        <v/>
      </c>
      <c r="H14" s="14">
        <f>-SUM(Costs!$C$24:$C$28)</f>
        <v/>
      </c>
      <c r="I14" s="14">
        <f>-SUM(Costs!$C$24:$C$28)</f>
        <v/>
      </c>
      <c r="J14" s="14">
        <f>-SUM(Costs!$C$24:$C$28)</f>
        <v/>
      </c>
      <c r="K14" s="14">
        <f>-SUM(Costs!$C$24:$C$28)</f>
        <v/>
      </c>
      <c r="L14" s="14">
        <f>-SUM(Costs!$C$24:$C$28)</f>
        <v/>
      </c>
      <c r="M14" s="14">
        <f>-SUM(Costs!$C$24:$C$28)</f>
        <v/>
      </c>
      <c r="N14" s="14">
        <f>-SUM(Costs!$C$24:$C$28)</f>
        <v/>
      </c>
      <c r="O14" s="14">
        <f>-SUM(Costs!$C$24:$C$28)</f>
        <v/>
      </c>
      <c r="P14" s="14">
        <f>-SUM(Costs!$C$24:$C$28)</f>
        <v/>
      </c>
      <c r="Q14" s="14">
        <f>-SUM(Costs!$C$24:$C$28)</f>
        <v/>
      </c>
      <c r="R14" s="14">
        <f>-SUM(Costs!$C$24:$C$28)</f>
        <v/>
      </c>
      <c r="S14" s="14">
        <f>-SUM(Costs!$C$24:$C$28)</f>
        <v/>
      </c>
      <c r="T14" s="14">
        <f>-SUM(Costs!$C$24:$C$28)</f>
        <v/>
      </c>
      <c r="U14" s="14">
        <f>-SUM(Costs!$C$24:$C$28)</f>
        <v/>
      </c>
      <c r="V14" s="14">
        <f>-SUM(Costs!$C$24:$C$28)</f>
        <v/>
      </c>
      <c r="W14" s="14">
        <f>-SUM(Costs!$C$24:$C$28)</f>
        <v/>
      </c>
      <c r="X14" s="14">
        <f>-SUM(Costs!$C$24:$C$28)</f>
        <v/>
      </c>
      <c r="Y14" s="14">
        <f>-SUM(Costs!$C$24:$C$28)</f>
        <v/>
      </c>
    </row>
    <row r="15">
      <c r="A15" s="17" t="inlineStr">
        <is>
          <t>Opex — marketing</t>
        </is>
      </c>
      <c r="B15" s="14">
        <f>-Costs!$C$34</f>
        <v/>
      </c>
      <c r="C15" s="14">
        <f>-Costs!$C$34</f>
        <v/>
      </c>
      <c r="D15" s="14">
        <f>-Costs!$C$34</f>
        <v/>
      </c>
      <c r="E15" s="14">
        <f>-Costs!$C$34</f>
        <v/>
      </c>
      <c r="F15" s="14">
        <f>-Costs!$C$34</f>
        <v/>
      </c>
      <c r="G15" s="14">
        <f>-Costs!$C$34</f>
        <v/>
      </c>
      <c r="H15" s="14">
        <f>-Costs!$C$34</f>
        <v/>
      </c>
      <c r="I15" s="14">
        <f>-Costs!$C$34</f>
        <v/>
      </c>
      <c r="J15" s="14">
        <f>-Costs!$C$34</f>
        <v/>
      </c>
      <c r="K15" s="14">
        <f>-Costs!$C$34</f>
        <v/>
      </c>
      <c r="L15" s="14">
        <f>-Costs!$C$34</f>
        <v/>
      </c>
      <c r="M15" s="14">
        <f>-Costs!$C$34</f>
        <v/>
      </c>
      <c r="N15" s="14">
        <f>-Costs!$C$34</f>
        <v/>
      </c>
      <c r="O15" s="14">
        <f>-Costs!$C$34</f>
        <v/>
      </c>
      <c r="P15" s="14">
        <f>-Costs!$C$34</f>
        <v/>
      </c>
      <c r="Q15" s="14">
        <f>-Costs!$C$34</f>
        <v/>
      </c>
      <c r="R15" s="14">
        <f>-Costs!$C$34</f>
        <v/>
      </c>
      <c r="S15" s="14">
        <f>-Costs!$C$34</f>
        <v/>
      </c>
      <c r="T15" s="14">
        <f>-Costs!$C$34</f>
        <v/>
      </c>
      <c r="U15" s="14">
        <f>-Costs!$C$34</f>
        <v/>
      </c>
      <c r="V15" s="14">
        <f>-Costs!$C$34</f>
        <v/>
      </c>
      <c r="W15" s="14">
        <f>-Costs!$C$34</f>
        <v/>
      </c>
      <c r="X15" s="14">
        <f>-Costs!$C$34</f>
        <v/>
      </c>
      <c r="Y15" s="14">
        <f>-Costs!$C$34</f>
        <v/>
      </c>
    </row>
    <row r="16">
      <c r="A16" s="10" t="inlineStr">
        <is>
          <t>Total opex (incl. R&amp;D)</t>
        </is>
      </c>
      <c r="B16" s="14">
        <f>B12+B13+B14+B15</f>
        <v/>
      </c>
      <c r="C16" s="14">
        <f>C12+C13+C14+C15</f>
        <v/>
      </c>
      <c r="D16" s="14">
        <f>D12+D13+D14+D15</f>
        <v/>
      </c>
      <c r="E16" s="14">
        <f>E12+E13+E14+E15</f>
        <v/>
      </c>
      <c r="F16" s="14">
        <f>F12+F13+F14+F15</f>
        <v/>
      </c>
      <c r="G16" s="14">
        <f>G12+G13+G14+G15</f>
        <v/>
      </c>
      <c r="H16" s="14">
        <f>H12+H13+H14+H15</f>
        <v/>
      </c>
      <c r="I16" s="14">
        <f>I12+I13+I14+I15</f>
        <v/>
      </c>
      <c r="J16" s="14">
        <f>J12+J13+J14+J15</f>
        <v/>
      </c>
      <c r="K16" s="14">
        <f>K12+K13+K14+K15</f>
        <v/>
      </c>
      <c r="L16" s="14">
        <f>L12+L13+L14+L15</f>
        <v/>
      </c>
      <c r="M16" s="14">
        <f>M12+M13+M14+M15</f>
        <v/>
      </c>
      <c r="N16" s="14">
        <f>N12+N13+N14+N15</f>
        <v/>
      </c>
      <c r="O16" s="14">
        <f>O12+O13+O14+O15</f>
        <v/>
      </c>
      <c r="P16" s="14">
        <f>P12+P13+P14+P15</f>
        <v/>
      </c>
      <c r="Q16" s="14">
        <f>Q12+Q13+Q14+Q15</f>
        <v/>
      </c>
      <c r="R16" s="14">
        <f>R12+R13+R14+R15</f>
        <v/>
      </c>
      <c r="S16" s="14">
        <f>S12+S13+S14+S15</f>
        <v/>
      </c>
      <c r="T16" s="14">
        <f>T12+T13+T14+T15</f>
        <v/>
      </c>
      <c r="U16" s="14">
        <f>U12+U13+U14+U15</f>
        <v/>
      </c>
      <c r="V16" s="14">
        <f>V12+V13+V14+V15</f>
        <v/>
      </c>
      <c r="W16" s="14">
        <f>W12+W13+W14+W15</f>
        <v/>
      </c>
      <c r="X16" s="14">
        <f>X12+X13+X14+X15</f>
        <v/>
      </c>
      <c r="Y16" s="14">
        <f>Y12+Y13+Y14+Y15</f>
        <v/>
      </c>
    </row>
    <row r="17">
      <c r="A17" s="10" t="inlineStr">
        <is>
          <t>EBITDA</t>
        </is>
      </c>
      <c r="B17" s="14">
        <f>B10+B16</f>
        <v/>
      </c>
      <c r="C17" s="14">
        <f>C10+C16</f>
        <v/>
      </c>
      <c r="D17" s="14">
        <f>D10+D16</f>
        <v/>
      </c>
      <c r="E17" s="14">
        <f>E10+E16</f>
        <v/>
      </c>
      <c r="F17" s="14">
        <f>F10+F16</f>
        <v/>
      </c>
      <c r="G17" s="14">
        <f>G10+G16</f>
        <v/>
      </c>
      <c r="H17" s="14">
        <f>H10+H16</f>
        <v/>
      </c>
      <c r="I17" s="14">
        <f>I10+I16</f>
        <v/>
      </c>
      <c r="J17" s="14">
        <f>J10+J16</f>
        <v/>
      </c>
      <c r="K17" s="14">
        <f>K10+K16</f>
        <v/>
      </c>
      <c r="L17" s="14">
        <f>L10+L16</f>
        <v/>
      </c>
      <c r="M17" s="14">
        <f>M10+M16</f>
        <v/>
      </c>
      <c r="N17" s="14">
        <f>N10+N16</f>
        <v/>
      </c>
      <c r="O17" s="14">
        <f>O10+O16</f>
        <v/>
      </c>
      <c r="P17" s="14">
        <f>P10+P16</f>
        <v/>
      </c>
      <c r="Q17" s="14">
        <f>Q10+Q16</f>
        <v/>
      </c>
      <c r="R17" s="14">
        <f>R10+R16</f>
        <v/>
      </c>
      <c r="S17" s="14">
        <f>S10+S16</f>
        <v/>
      </c>
      <c r="T17" s="14">
        <f>T10+T16</f>
        <v/>
      </c>
      <c r="U17" s="14">
        <f>U10+U16</f>
        <v/>
      </c>
      <c r="V17" s="14">
        <f>V10+V16</f>
        <v/>
      </c>
      <c r="W17" s="14">
        <f>W10+W16</f>
        <v/>
      </c>
      <c r="X17" s="14">
        <f>X10+X16</f>
        <v/>
      </c>
      <c r="Y17" s="14">
        <f>Y10+Y16</f>
        <v/>
      </c>
    </row>
    <row r="18">
      <c r="A18" s="17" t="inlineStr">
        <is>
          <t>One-time costs</t>
        </is>
      </c>
      <c r="B18" s="14">
        <f>-Costs!$B$46</f>
        <v/>
      </c>
      <c r="C18" s="14">
        <f>0</f>
        <v/>
      </c>
      <c r="D18" s="14">
        <f>0</f>
        <v/>
      </c>
      <c r="E18" s="14">
        <f>0</f>
        <v/>
      </c>
      <c r="F18" s="14">
        <f>0</f>
        <v/>
      </c>
      <c r="G18" s="14">
        <f>0</f>
        <v/>
      </c>
      <c r="H18" s="14">
        <f>0</f>
        <v/>
      </c>
      <c r="I18" s="14">
        <f>0</f>
        <v/>
      </c>
      <c r="J18" s="14">
        <f>0</f>
        <v/>
      </c>
      <c r="K18" s="14">
        <f>0</f>
        <v/>
      </c>
      <c r="L18" s="14">
        <f>0</f>
        <v/>
      </c>
      <c r="M18" s="14">
        <f>0</f>
        <v/>
      </c>
      <c r="N18" s="14">
        <f>0</f>
        <v/>
      </c>
      <c r="O18" s="14">
        <f>0</f>
        <v/>
      </c>
      <c r="P18" s="14">
        <f>0</f>
        <v/>
      </c>
      <c r="Q18" s="14">
        <f>0</f>
        <v/>
      </c>
      <c r="R18" s="14">
        <f>0</f>
        <v/>
      </c>
      <c r="S18" s="14">
        <f>0</f>
        <v/>
      </c>
      <c r="T18" s="14">
        <f>0</f>
        <v/>
      </c>
      <c r="U18" s="14">
        <f>0</f>
        <v/>
      </c>
      <c r="V18" s="14">
        <f>0</f>
        <v/>
      </c>
      <c r="W18" s="14">
        <f>0</f>
        <v/>
      </c>
      <c r="X18" s="14">
        <f>0</f>
        <v/>
      </c>
      <c r="Y18" s="14">
        <f>0</f>
        <v/>
      </c>
    </row>
    <row r="19">
      <c r="A19" s="10" t="inlineStr">
        <is>
          <t>Net cash flow</t>
        </is>
      </c>
      <c r="B19" s="14">
        <f>B17+B18</f>
        <v/>
      </c>
      <c r="C19" s="14">
        <f>C17+C18</f>
        <v/>
      </c>
      <c r="D19" s="14">
        <f>D17+D18</f>
        <v/>
      </c>
      <c r="E19" s="14">
        <f>E17+E18</f>
        <v/>
      </c>
      <c r="F19" s="14">
        <f>F17+F18</f>
        <v/>
      </c>
      <c r="G19" s="14">
        <f>G17+G18</f>
        <v/>
      </c>
      <c r="H19" s="14">
        <f>H17+H18</f>
        <v/>
      </c>
      <c r="I19" s="14">
        <f>I17+I18</f>
        <v/>
      </c>
      <c r="J19" s="14">
        <f>J17+J18</f>
        <v/>
      </c>
      <c r="K19" s="14">
        <f>K17+K18</f>
        <v/>
      </c>
      <c r="L19" s="14">
        <f>L17+L18</f>
        <v/>
      </c>
      <c r="M19" s="14">
        <f>M17+M18</f>
        <v/>
      </c>
      <c r="N19" s="14">
        <f>N17+N18</f>
        <v/>
      </c>
      <c r="O19" s="14">
        <f>O17+O18</f>
        <v/>
      </c>
      <c r="P19" s="14">
        <f>P17+P18</f>
        <v/>
      </c>
      <c r="Q19" s="14">
        <f>Q17+Q18</f>
        <v/>
      </c>
      <c r="R19" s="14">
        <f>R17+R18</f>
        <v/>
      </c>
      <c r="S19" s="14">
        <f>S17+S18</f>
        <v/>
      </c>
      <c r="T19" s="14">
        <f>T17+T18</f>
        <v/>
      </c>
      <c r="U19" s="14">
        <f>U17+U18</f>
        <v/>
      </c>
      <c r="V19" s="14">
        <f>V17+V18</f>
        <v/>
      </c>
      <c r="W19" s="14">
        <f>W17+W18</f>
        <v/>
      </c>
      <c r="X19" s="14">
        <f>X17+X18</f>
        <v/>
      </c>
      <c r="Y19" s="14">
        <f>Y17+Y18</f>
        <v/>
      </c>
    </row>
    <row r="20">
      <c r="A20" s="10" t="inlineStr">
        <is>
          <t>Cumulative cash</t>
        </is>
      </c>
      <c r="B20" s="18">
        <f>B19</f>
        <v/>
      </c>
      <c r="C20" s="18">
        <f>B20+C19</f>
        <v/>
      </c>
      <c r="D20" s="18">
        <f>C20+D19</f>
        <v/>
      </c>
      <c r="E20" s="18">
        <f>D20+E19</f>
        <v/>
      </c>
      <c r="F20" s="18">
        <f>E20+F19</f>
        <v/>
      </c>
      <c r="G20" s="18">
        <f>F20+G19</f>
        <v/>
      </c>
      <c r="H20" s="18">
        <f>G20+H19</f>
        <v/>
      </c>
      <c r="I20" s="18">
        <f>H20+I19</f>
        <v/>
      </c>
      <c r="J20" s="18">
        <f>I20+J19</f>
        <v/>
      </c>
      <c r="K20" s="18">
        <f>J20+K19</f>
        <v/>
      </c>
      <c r="L20" s="18">
        <f>K20+L19</f>
        <v/>
      </c>
      <c r="M20" s="18">
        <f>L20+M19</f>
        <v/>
      </c>
      <c r="N20" s="18">
        <f>M20+N19</f>
        <v/>
      </c>
      <c r="O20" s="18">
        <f>N20+O19</f>
        <v/>
      </c>
      <c r="P20" s="18">
        <f>O20+P19</f>
        <v/>
      </c>
      <c r="Q20" s="18">
        <f>P20+Q19</f>
        <v/>
      </c>
      <c r="R20" s="18">
        <f>Q20+R19</f>
        <v/>
      </c>
      <c r="S20" s="18">
        <f>R20+S19</f>
        <v/>
      </c>
      <c r="T20" s="18">
        <f>S20+T19</f>
        <v/>
      </c>
      <c r="U20" s="18">
        <f>T20+U19</f>
        <v/>
      </c>
      <c r="V20" s="18">
        <f>U20+V19</f>
        <v/>
      </c>
      <c r="W20" s="18">
        <f>V20+W19</f>
        <v/>
      </c>
      <c r="X20" s="18">
        <f>W20+X19</f>
        <v/>
      </c>
      <c r="Y20" s="18">
        <f>X20+Y19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60" customWidth="1" min="3" max="3"/>
  </cols>
  <sheetData>
    <row r="1">
      <c r="A1" s="1" t="inlineStr">
        <is>
          <t>How much to raise</t>
        </is>
      </c>
    </row>
    <row r="3">
      <c r="A3" s="10" t="inlineStr">
        <is>
          <t>Peak cumulative cash need (fine-tune × Base, 24 mo)</t>
        </is>
      </c>
      <c r="B3" s="13">
        <f>-MIN('P&amp;L (Accounting)'!B20:Y20)</f>
        <v/>
      </c>
      <c r="C3" t="inlineStr">
        <is>
          <t>most-negative cumulative cash on the P&amp;L tab</t>
        </is>
      </c>
    </row>
    <row r="4">
      <c r="A4" s="10" t="inlineStr">
        <is>
          <t>Buffer</t>
        </is>
      </c>
      <c r="B4" s="13">
        <f>B3*Assumptions!$B$70</f>
        <v/>
      </c>
      <c r="C4" t="inlineStr">
        <is>
          <t>25% cushion (edit on Assumptions)</t>
        </is>
      </c>
    </row>
    <row r="5">
      <c r="A5" s="2" t="inlineStr">
        <is>
          <t>RECOMMENDED RAISE (pre-seed)</t>
        </is>
      </c>
      <c r="B5" s="15">
        <f>B3+B4</f>
        <v/>
      </c>
      <c r="C5" t="inlineStr">
        <is>
          <t>peak need + buffer, rounded up when pitching</t>
        </is>
      </c>
    </row>
    <row r="7">
      <c r="A7" s="3" t="inlineStr">
        <is>
          <t>Sensitivity — cash needed at month N (before buffer)</t>
        </is>
      </c>
      <c r="B7" s="4" t="n"/>
      <c r="C7" s="4" t="n"/>
    </row>
    <row r="8">
      <c r="A8" s="5" t="inlineStr">
        <is>
          <t>Horizon</t>
        </is>
      </c>
      <c r="B8" s="5" t="inlineStr">
        <is>
          <t>Cash need $</t>
        </is>
      </c>
      <c r="C8" s="5" t="inlineStr">
        <is>
          <t>Note</t>
        </is>
      </c>
    </row>
    <row r="9">
      <c r="A9" t="inlineStr">
        <is>
          <t>12 months</t>
        </is>
      </c>
      <c r="B9" s="14">
        <f>-MIN('P&amp;L (Accounting)'!B20:M20)</f>
        <v/>
      </c>
      <c r="C9" t="inlineStr">
        <is>
          <t>12-month runway</t>
        </is>
      </c>
    </row>
    <row r="10">
      <c r="A10" t="inlineStr">
        <is>
          <t>18 months</t>
        </is>
      </c>
      <c r="B10" s="14">
        <f>-MIN('P&amp;L (Accounting)'!B20:S20)</f>
        <v/>
      </c>
      <c r="C10" t="inlineStr">
        <is>
          <t>18-month runway (typical pre-seed ask)</t>
        </is>
      </c>
    </row>
    <row r="11">
      <c r="A11" t="inlineStr">
        <is>
          <t>24 months</t>
        </is>
      </c>
      <c r="B11" s="14">
        <f>-MIN('P&amp;L (Accounting)'!B20:Y20)</f>
        <v/>
      </c>
      <c r="C11" t="inlineStr">
        <is>
          <t>24-month runway</t>
        </is>
      </c>
    </row>
    <row r="13">
      <c r="A13" s="3" t="inlineStr">
        <is>
          <t>Scale-training plan — crude upper bound (ignores revenue)</t>
        </is>
      </c>
      <c r="B13" s="4" t="n"/>
      <c r="C13" s="4" t="n"/>
    </row>
    <row r="14">
      <c r="A14" t="inlineStr">
        <is>
          <t>Scale plan monthly cost</t>
        </is>
      </c>
      <c r="B14" s="14">
        <f>Costs!$D$36</f>
        <v/>
      </c>
      <c r="C14" t="inlineStr">
        <is>
          <t>H100 Capacity-Block week each month + A100 spot + contractor</t>
        </is>
      </c>
    </row>
    <row r="15">
      <c r="A15" t="inlineStr">
        <is>
          <t>18-month scale raise (no revenue credit, +buffer)</t>
        </is>
      </c>
      <c r="B15" s="14">
        <f>(Costs!$D$36*18+Costs!$B$46)*(1+Assumptions!$B$70)</f>
        <v/>
      </c>
      <c r="C15" t="inlineStr">
        <is>
          <t>worst-case ask if committing to H100 training from day 1</t>
        </is>
      </c>
    </row>
    <row r="17">
      <c r="A17" s="3" t="inlineStr">
        <is>
          <t>Bootstrap alternative (no raise, no training)</t>
        </is>
      </c>
      <c r="B17" s="4" t="n"/>
      <c r="C17" s="4" t="n"/>
    </row>
    <row r="18">
      <c r="A18" t="inlineStr">
        <is>
          <t>Bootstrap monthly cost</t>
        </is>
      </c>
      <c r="B18" s="14">
        <f>Costs!$B$36</f>
        <v/>
      </c>
      <c r="C18" t="inlineStr">
        <is>
          <t>trimmed fleet on AWS, no GPU</t>
        </is>
      </c>
    </row>
    <row r="19">
      <c r="A19" t="inlineStr">
        <is>
          <t>Bootstrap annual cost</t>
        </is>
      </c>
      <c r="B19" s="14">
        <f>Costs!$B$36*12</f>
        <v/>
      </c>
      <c r="C19" t="inlineStr">
        <is>
          <t>cost to keep narve.ai alive for a year</t>
        </is>
      </c>
    </row>
    <row r="20">
      <c r="A20" t="inlineStr">
        <is>
          <t>Subscribers to break even (Bootstrap)</t>
        </is>
      </c>
      <c r="B20" s="14">
        <f>ROUNDUP(Costs!$B$36/(Assumptions!$B$58*(1-Assumptions!$B$59)-Assumptions!$B$60),0)</f>
        <v/>
      </c>
      <c r="C20" t="inlineStr">
        <is>
          <t>monthly cost ÷ net ARPU</t>
        </is>
      </c>
    </row>
    <row r="21">
      <c r="A21" t="inlineStr">
        <is>
          <t>Subscribers to break even (ML fine-tune plan)</t>
        </is>
      </c>
      <c r="B21" s="14">
        <f>ROUNDUP(Costs!$C$36/(Assumptions!$B$58*(1-Assumptions!$B$59)-Assumptions!$B$60),0)</f>
        <v/>
      </c>
      <c r="C21" t="inlineStr">
        <is>
          <t>covers GPU training + full opex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2026-07-02T11:38:14Z</dcterms:created>
  <dcterms:modified xsi:type="dcterms:W3CDTF">2026-07-02T11:38:14Z</dcterms:modified>
</cp:coreProperties>
</file>