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Drivers" sheetId="2" state="visible" r:id="rId2"/>
    <sheet name="Pricing Data" sheetId="3" state="visible" r:id="rId3"/>
    <sheet name="Rev Build" sheetId="4" state="visible" r:id="rId4"/>
    <sheet name="Opex" sheetId="5" state="visible" r:id="rId5"/>
    <sheet name="Income Statement" sheetId="6" state="visible" r:id="rId6"/>
    <sheet name="Cash Flow &amp; BS" sheetId="7" state="visible" r:id="rId7"/>
    <sheet name="Annual &amp; KPIs" sheetId="8" state="visible" r:id="rId8"/>
    <sheet name="Sensitivity" sheetId="9" state="visible" r:id="rId9"/>
    <sheet name="Cap Table &amp; Valuation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"/>
    <numFmt numFmtId="165" formatCode="#,##0.00;[Red](#,##0.00)"/>
    <numFmt numFmtId="166" formatCode="#,##0;[Red](#,##0)"/>
    <numFmt numFmtId="167" formatCode="0.0&quot;x&quot;"/>
    <numFmt numFmtId="168" formatCode="0.0"/>
  </numFmts>
  <fonts count="14">
    <font>
      <name val="Calibri"/>
      <family val="2"/>
      <color theme="1"/>
      <sz val="11"/>
      <scheme val="minor"/>
    </font>
    <font>
      <b val="1"/>
      <color rgb="001F3864"/>
      <sz val="24"/>
    </font>
    <font>
      <color rgb="00595959"/>
      <sz val="12"/>
    </font>
    <font>
      <b val="1"/>
      <sz val="11"/>
    </font>
    <font>
      <color rgb="00595959"/>
      <sz val="9"/>
    </font>
    <font>
      <b val="1"/>
      <color rgb="001F3864"/>
      <sz val="11"/>
    </font>
    <font>
      <i val="1"/>
      <color rgb="00808080"/>
      <sz val="9"/>
    </font>
    <font>
      <b val="1"/>
      <color rgb="001F3864"/>
      <sz val="14"/>
    </font>
    <font>
      <i val="1"/>
      <color rgb="00595959"/>
      <sz val="9"/>
    </font>
    <font>
      <color rgb="000000CC"/>
    </font>
    <font>
      <b val="1"/>
    </font>
    <font>
      <b val="1"/>
      <color rgb="00FFFFFF"/>
    </font>
    <font>
      <color rgb="00007000"/>
    </font>
    <font>
      <b val="1"/>
      <color rgb="0000700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bottom style="thin">
        <color rgb="008EAAD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1" fontId="9" fillId="3" borderId="0" pivotButton="0" quotePrefix="0" xfId="0"/>
    <xf numFmtId="0" fontId="10" fillId="0" borderId="0" pivotButton="0" quotePrefix="0" xfId="0"/>
    <xf numFmtId="3" fontId="10" fillId="0" borderId="0" pivotButton="0" quotePrefix="0" xfId="0"/>
    <xf numFmtId="3" fontId="9" fillId="3" borderId="0" pivotButton="0" quotePrefix="0" xfId="0"/>
    <xf numFmtId="164" fontId="10" fillId="0" borderId="0" pivotButton="0" quotePrefix="0" xfId="0"/>
    <xf numFmtId="164" fontId="9" fillId="3" borderId="0" pivotButton="0" quotePrefix="0" xfId="0"/>
    <xf numFmtId="165" fontId="9" fillId="3" borderId="0" pivotButton="0" quotePrefix="0" xfId="0"/>
    <xf numFmtId="9" fontId="9" fillId="3" borderId="0" pivotButton="0" quotePrefix="0" xfId="0"/>
    <xf numFmtId="166" fontId="9" fillId="3" borderId="0" pivotButton="0" quotePrefix="0" xfId="0"/>
    <xf numFmtId="0" fontId="10" fillId="0" borderId="1" pivotButton="0" quotePrefix="0" xfId="0"/>
    <xf numFmtId="165" fontId="0" fillId="0" borderId="0" pivotButton="0" quotePrefix="0" xfId="0"/>
    <xf numFmtId="0" fontId="11" fillId="4" borderId="0" pivotButton="0" quotePrefix="0" xfId="0"/>
    <xf numFmtId="0" fontId="11" fillId="4" borderId="0" applyAlignment="1" pivotButton="0" quotePrefix="0" xfId="0">
      <alignment horizontal="center"/>
    </xf>
    <xf numFmtId="166" fontId="0" fillId="0" borderId="0" pivotButton="0" quotePrefix="0" xfId="0"/>
    <xf numFmtId="0" fontId="10" fillId="5" borderId="0" pivotButton="0" quotePrefix="0" xfId="0"/>
    <xf numFmtId="166" fontId="10" fillId="5" borderId="0" pivotButton="0" quotePrefix="0" xfId="0"/>
    <xf numFmtId="164" fontId="0" fillId="0" borderId="0" pivotButton="0" quotePrefix="0" xfId="0"/>
    <xf numFmtId="166" fontId="12" fillId="0" borderId="0" pivotButton="0" quotePrefix="0" xfId="0"/>
    <xf numFmtId="166" fontId="13" fillId="0" borderId="0" pivotButton="0" quotePrefix="0" xfId="0"/>
    <xf numFmtId="166" fontId="10" fillId="0" borderId="0" pivotButton="0" quotePrefix="0" xfId="0"/>
    <xf numFmtId="0" fontId="10" fillId="6" borderId="0" pivotButton="0" quotePrefix="0" xfId="0"/>
    <xf numFmtId="166" fontId="0" fillId="6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68" fontId="10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t="inlineStr"/>
    </row>
    <row r="3">
      <c r="B3" s="1" t="inlineStr">
        <is>
          <t>NARVE.AI</t>
        </is>
      </c>
    </row>
    <row r="4">
      <c r="B4" s="2" t="inlineStr">
        <is>
          <t>Prediction-Market Analytics SaaS + Proprietary Model Training</t>
        </is>
      </c>
    </row>
    <row r="5">
      <c r="B5" s="3" t="inlineStr">
        <is>
          <t>Operating Model &amp; Financing Analysis — v3 (36 months, monthly)</t>
        </is>
      </c>
    </row>
    <row r="6">
      <c r="B6" s="4" t="inlineStr">
        <is>
          <t>Prepared July 2, 2026 · All third-party prices verified against official sources as of 2026-07-02</t>
        </is>
      </c>
    </row>
    <row r="7">
      <c r="B7" t="inlineStr"/>
    </row>
    <row r="8">
      <c r="B8" s="5" t="inlineStr">
        <is>
          <t>CONTENTS</t>
        </is>
      </c>
    </row>
    <row r="9">
      <c r="B9" t="inlineStr">
        <is>
          <t xml:space="preserve">  Drivers — all model inputs incl. scenario switch (1 Bear / 2 Base / 3 Bull) and training-plan toggle (1 Fine-tune / 2 Scale)</t>
        </is>
      </c>
    </row>
    <row r="10">
      <c r="B10" t="inlineStr">
        <is>
          <t xml:space="preserve">  Pricing Data — sourced third-party price list (AWS, GPU instances, APIs, SaaS, professional)</t>
        </is>
      </c>
    </row>
    <row r="11">
      <c r="B11" t="inlineStr">
        <is>
          <t xml:space="preserve">  Rev Build — bottoms-up subscriber waterfall by product → MRR → ARR</t>
        </is>
      </c>
    </row>
    <row r="12">
      <c r="B12" t="inlineStr">
        <is>
          <t xml:space="preserve">  Opex — cost schedule: COGS, R&amp;D (GPU training), S&amp;M, G&amp;A</t>
        </is>
      </c>
    </row>
    <row r="13">
      <c r="B13" t="inlineStr">
        <is>
          <t xml:space="preserve">  Income Statement — monthly P&amp;L to net income</t>
        </is>
      </c>
    </row>
    <row r="14">
      <c r="B14" t="inlineStr">
        <is>
          <t xml:space="preserve">  Cash Flow &amp; BS — cash bridge, SAFE financing, mini balance sheet with tie-out</t>
        </is>
      </c>
    </row>
    <row r="15">
      <c r="B15" t="inlineStr">
        <is>
          <t xml:space="preserve">  Annual &amp; KPIs — FY summaries + SaaS metrics (LTV/CAC, payback, burn multiple, Rule of 40)</t>
        </is>
      </c>
    </row>
    <row r="16">
      <c r="B16" t="inlineStr">
        <is>
          <t xml:space="preserve">  Sensitivity — peak-funding-need and M24 MRR grids (churn × growth)</t>
        </is>
      </c>
    </row>
    <row r="17">
      <c r="B17" t="inlineStr">
        <is>
          <t xml:space="preserve">  Cap Table &amp; Valuation — post-money SAFE dilution; forward-ARR multiple valuation</t>
        </is>
      </c>
    </row>
    <row r="18">
      <c r="B18" t="inlineStr">
        <is>
          <t xml:space="preserve">  Checks — balance-sheet tie-out, minimum-cash and margin flags</t>
        </is>
      </c>
    </row>
    <row r="19">
      <c r="B19" t="inlineStr"/>
    </row>
    <row r="20">
      <c r="B20" s="5" t="inlineStr">
        <is>
          <t>CONVENTIONS</t>
        </is>
      </c>
    </row>
    <row r="21">
      <c r="B21" t="inlineStr">
        <is>
          <t xml:space="preserve">  Blue on yellow = hardcoded input (edit these) · Black = calculation · Green = pulled from another sheet</t>
        </is>
      </c>
    </row>
    <row r="22">
      <c r="B22" t="inlineStr">
        <is>
          <t xml:space="preserve">  Negatives in red parentheses · Model currency USD · Months M1–M36 = Aug-26 through Jul-29</t>
        </is>
      </c>
    </row>
    <row r="23">
      <c r="B23" t="inlineStr"/>
    </row>
    <row r="24">
      <c r="B24" s="5" t="inlineStr">
        <is>
          <t>KEY MODEL CHOICES</t>
        </is>
      </c>
    </row>
    <row r="25">
      <c r="B25" t="inlineStr">
        <is>
          <t xml:space="preserve">  Founder salary is an input, default $0 (add back when funded — investors often prefer a modest salary).</t>
        </is>
      </c>
    </row>
    <row r="26">
      <c r="B26" t="inlineStr">
        <is>
          <t xml:space="preserve">  GPU training carried as R&amp;D opex (rented compute, no capex/D&amp;A). Taxes $0 (NOL carryforward). No AR/AP (Stripe settles ~daily).</t>
        </is>
      </c>
    </row>
    <row r="27">
      <c r="B27" t="inlineStr">
        <is>
          <t xml:space="preserve">  SAFE proceeds arrive in M1; carried as a liability until conversion (see Cap Table).</t>
        </is>
      </c>
    </row>
    <row r="28">
      <c r="B28" t="inlineStr"/>
    </row>
    <row r="29">
      <c r="B29" s="6" t="inlineStr">
        <is>
          <t>This model is a planning tool, not investment advice. Verify prices before committing spend.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2" customWidth="1" min="4" max="4"/>
    <col width="12" customWidth="1" min="5" max="5"/>
    <col width="66" customWidth="1" min="6" max="6"/>
  </cols>
  <sheetData>
    <row r="1">
      <c r="A1" s="7" t="inlineStr">
        <is>
          <t>narve.ai — Drivers</t>
        </is>
      </c>
    </row>
    <row r="2">
      <c r="A2" s="8" t="inlineStr">
        <is>
          <t>Blue-on-yellow cells are the only inputs in the workbook. Everything downstream recalculates.</t>
        </is>
      </c>
    </row>
    <row r="4">
      <c r="A4" s="9" t="inlineStr">
        <is>
          <t>SWITCHES</t>
        </is>
      </c>
      <c r="B4" s="10" t="n"/>
      <c r="C4" s="10" t="n"/>
      <c r="D4" s="10" t="n"/>
      <c r="E4" s="10" t="n"/>
      <c r="F4" s="10" t="n"/>
    </row>
    <row r="5">
      <c r="A5" t="inlineStr">
        <is>
          <t>Scenario (1 Bear / 2 Base / 3 Bull)</t>
        </is>
      </c>
      <c r="B5" s="11" t="n">
        <v>2</v>
      </c>
      <c r="F5" s="4" t="inlineStr">
        <is>
          <t>drives growth &amp; churn columns below</t>
        </is>
      </c>
    </row>
    <row r="6">
      <c r="A6" t="inlineStr">
        <is>
          <t>Training plan (1 Fine-tune / 2 Scale)</t>
        </is>
      </c>
      <c r="B6" s="11" t="n">
        <v>1</v>
      </c>
      <c r="F6" s="4" t="inlineStr">
        <is>
          <t>2 adds H100 Capacity-Block weeks, A100 spot, ML contractor</t>
        </is>
      </c>
    </row>
    <row r="7">
      <c r="A7" s="9" t="inlineStr">
        <is>
          <t>DEMAND (per scenario: Bear / Base / Bull)</t>
        </is>
      </c>
      <c r="B7" s="10" t="n"/>
      <c r="C7" s="10" t="n"/>
      <c r="D7" s="10" t="n"/>
      <c r="E7" s="10" t="n"/>
      <c r="F7" s="10" t="n"/>
    </row>
    <row r="8">
      <c r="B8" s="12" t="inlineStr">
        <is>
          <t>Active</t>
        </is>
      </c>
      <c r="C8" s="12" t="inlineStr">
        <is>
          <t>Bear</t>
        </is>
      </c>
      <c r="D8" s="12" t="inlineStr">
        <is>
          <t>Base</t>
        </is>
      </c>
      <c r="E8" s="12" t="inlineStr">
        <is>
          <t>Bull</t>
        </is>
      </c>
    </row>
    <row r="9">
      <c r="A9" t="inlineStr">
        <is>
          <t>Gross adds, month 1</t>
        </is>
      </c>
      <c r="B9" s="13">
        <f>INDEX($C$9:$E$9,1,Drivers!$B$5)</f>
        <v/>
      </c>
      <c r="C9" s="14" t="n">
        <v>10</v>
      </c>
      <c r="D9" s="14" t="n">
        <v>15</v>
      </c>
      <c r="E9" s="14" t="n">
        <v>30</v>
      </c>
      <c r="F9" s="4" t="inlineStr">
        <is>
          <t>new subscribers added in M1</t>
        </is>
      </c>
    </row>
    <row r="10">
      <c r="A10" t="inlineStr">
        <is>
          <t>Adds growth, %/month</t>
        </is>
      </c>
      <c r="B10" s="15">
        <f>INDEX($C$10:$E$10,1,Drivers!$B$5)</f>
        <v/>
      </c>
      <c r="C10" s="16" t="n">
        <v>0</v>
      </c>
      <c r="D10" s="16" t="n">
        <v>0.15</v>
      </c>
      <c r="E10" s="16" t="n">
        <v>0.2</v>
      </c>
      <c r="F10" s="4" t="inlineStr">
        <is>
          <t>monthly growth of gross adds</t>
        </is>
      </c>
    </row>
    <row r="11">
      <c r="A11" t="inlineStr">
        <is>
          <t>Adds cap, /month</t>
        </is>
      </c>
      <c r="B11" s="13">
        <f>INDEX($C$11:$E$11,1,Drivers!$B$5)</f>
        <v/>
      </c>
      <c r="C11" s="14" t="n">
        <v>10</v>
      </c>
      <c r="D11" s="14" t="n">
        <v>150</v>
      </c>
      <c r="E11" s="14" t="n">
        <v>400</v>
      </c>
      <c r="F11" s="4" t="inlineStr">
        <is>
          <t>acquisition ceiling</t>
        </is>
      </c>
    </row>
    <row r="12">
      <c r="A12" t="inlineStr">
        <is>
          <t>Monthly churn</t>
        </is>
      </c>
      <c r="B12" s="15">
        <f>INDEX($C$12:$E$12,1,Drivers!$B$5)</f>
        <v/>
      </c>
      <c r="C12" s="16" t="n">
        <v>0.07000000000000001</v>
      </c>
      <c r="D12" s="16" t="n">
        <v>0.06</v>
      </c>
      <c r="E12" s="16" t="n">
        <v>0.05</v>
      </c>
      <c r="F12" s="4" t="inlineStr">
        <is>
          <t>prosumer signal-SaaS typical 5–8%</t>
        </is>
      </c>
    </row>
    <row r="13">
      <c r="A13" s="9" t="inlineStr">
        <is>
          <t>PRODUCT MIX &amp; PRICING (from gateway/config.json)</t>
        </is>
      </c>
      <c r="B13" s="10" t="n"/>
      <c r="C13" s="10" t="n"/>
      <c r="D13" s="10" t="n"/>
      <c r="E13" s="10" t="n"/>
      <c r="F13" s="10" t="n"/>
    </row>
    <row r="14">
      <c r="A14" t="inlineStr">
        <is>
          <t>Weather price, $/mo</t>
        </is>
      </c>
      <c r="B14" s="17" t="n">
        <v>7.99</v>
      </c>
      <c r="F14" s="4" t="inlineStr">
        <is>
          <t>live Stripe price</t>
        </is>
      </c>
    </row>
    <row r="15">
      <c r="A15" t="inlineStr">
        <is>
          <t>Market Edge price, $/mo</t>
        </is>
      </c>
      <c r="B15" s="17" t="n">
        <v>9.99</v>
      </c>
      <c r="F15" s="4" t="inlineStr">
        <is>
          <t>live Stripe price (incl. StockSignal via access_alias)</t>
        </is>
      </c>
    </row>
    <row r="16">
      <c r="A16" t="inlineStr">
        <is>
          <t>Midterm price, $/mo</t>
        </is>
      </c>
      <c r="B16" s="17" t="n">
        <v>14.99</v>
      </c>
      <c r="F16" s="4" t="inlineStr">
        <is>
          <t>live Stripe price</t>
        </is>
      </c>
    </row>
    <row r="17">
      <c r="A17" t="inlineStr">
        <is>
          <t>Mix — Weather</t>
        </is>
      </c>
      <c r="B17" s="18" t="n">
        <v>0.25</v>
      </c>
      <c r="F17" s="4" t="inlineStr">
        <is>
          <t>share of gross adds</t>
        </is>
      </c>
    </row>
    <row r="18">
      <c r="A18" t="inlineStr">
        <is>
          <t>Mix — Market Edge</t>
        </is>
      </c>
      <c r="B18" s="18" t="n">
        <v>0.4</v>
      </c>
      <c r="F18" s="4" t="inlineStr">
        <is>
          <t>share of gross adds</t>
        </is>
      </c>
    </row>
    <row r="19">
      <c r="A19" t="inlineStr">
        <is>
          <t>Mix — Midterm</t>
        </is>
      </c>
      <c r="B19" s="18" t="n">
        <v>0.35</v>
      </c>
      <c r="F19" s="4" t="inlineStr">
        <is>
          <t>share of gross adds (three mixes must sum to 100% — see Checks)</t>
        </is>
      </c>
    </row>
    <row r="20">
      <c r="A20" s="9" t="inlineStr">
        <is>
          <t>PAYMENTS</t>
        </is>
      </c>
      <c r="B20" s="10" t="n"/>
      <c r="C20" s="10" t="n"/>
      <c r="D20" s="10" t="n"/>
      <c r="E20" s="10" t="n"/>
      <c r="F20" s="10" t="n"/>
    </row>
    <row r="21">
      <c r="A21" t="inlineStr">
        <is>
          <t>Stripe % take</t>
        </is>
      </c>
      <c r="B21" s="16" t="n">
        <v>0.036</v>
      </c>
      <c r="F21" s="4" t="inlineStr">
        <is>
          <t>2.9% processing + 0.7% Billing</t>
        </is>
      </c>
    </row>
    <row r="22">
      <c r="A22" t="inlineStr">
        <is>
          <t>Stripe fixed, $/charge</t>
        </is>
      </c>
      <c r="B22" s="17" t="n">
        <v>0.3</v>
      </c>
      <c r="F22" s="4" t="inlineStr">
        <is>
          <t>per successful charge</t>
        </is>
      </c>
    </row>
    <row r="23">
      <c r="A23" s="9" t="inlineStr">
        <is>
          <t>GPU TRAINING (hours × verified us-east-1 rates)</t>
        </is>
      </c>
      <c r="B23" s="10" t="n"/>
      <c r="C23" s="10" t="n"/>
      <c r="D23" s="10" t="n"/>
      <c r="E23" s="10" t="n"/>
      <c r="F23" s="10" t="n"/>
    </row>
    <row r="24">
      <c r="A24" t="inlineStr">
        <is>
          <t>Single-GPU hrs/mo (g6e.xlarge L40S)</t>
        </is>
      </c>
      <c r="B24" s="14" t="n">
        <v>300</v>
      </c>
      <c r="F24" s="4" t="inlineStr">
        <is>
          <t>daily LoRA/QLoRA fine-tunes, evals, retraining</t>
        </is>
      </c>
    </row>
    <row r="25">
      <c r="A25" t="inlineStr">
        <is>
          <t>Single-GPU rate $/hr</t>
        </is>
      </c>
      <c r="B25" s="17" t="n">
        <v>1.861</v>
      </c>
      <c r="F25" s="4" t="inlineStr">
        <is>
          <t>on-demand; 1.1724 reserved, ~1.2 spot (&gt;20% interruption)</t>
        </is>
      </c>
    </row>
    <row r="26">
      <c r="A26" t="inlineStr">
        <is>
          <t>Multi-GPU hrs/mo (g6e.12xlarge 4×L40S)</t>
        </is>
      </c>
      <c r="B26" s="14" t="n">
        <v>80</v>
      </c>
      <c r="F26" s="4" t="inlineStr">
        <is>
          <t>weekly bigger runs</t>
        </is>
      </c>
    </row>
    <row r="27">
      <c r="A27" t="inlineStr">
        <is>
          <t>Multi-GPU rate $/hr</t>
        </is>
      </c>
      <c r="B27" s="17" t="n">
        <v>10.49</v>
      </c>
      <c r="F27" s="4" t="inlineStr">
        <is>
          <t>on-demand</t>
        </is>
      </c>
    </row>
    <row r="28">
      <c r="A28" t="inlineStr">
        <is>
          <t>H100 block hrs/mo (p5.48xlarge) — Scale plan</t>
        </is>
      </c>
      <c r="B28" s="14" t="n">
        <v>168</v>
      </c>
      <c r="F28" s="4" t="inlineStr">
        <is>
          <t>one Capacity-Block week/month; active only when Training plan = 2</t>
        </is>
      </c>
    </row>
    <row r="29">
      <c r="A29" t="inlineStr">
        <is>
          <t>H100 block rate $/hr</t>
        </is>
      </c>
      <c r="B29" s="17" t="n">
        <v>41.53</v>
      </c>
      <c r="F29" s="4" t="inlineStr">
        <is>
          <t>$5.191/GPU-hr × 8, post July-2026 hike; floats with demand</t>
        </is>
      </c>
    </row>
    <row r="30">
      <c r="A30" t="inlineStr">
        <is>
          <t>A100 spot hrs/mo (p4d.24xlarge) — Scale plan</t>
        </is>
      </c>
      <c r="B30" s="14" t="n">
        <v>100</v>
      </c>
      <c r="F30" s="4" t="inlineStr">
        <is>
          <t>active only when Training plan = 2</t>
        </is>
      </c>
    </row>
    <row r="31">
      <c r="A31" t="inlineStr">
        <is>
          <t>A100 spot rate $/hr</t>
        </is>
      </c>
      <c r="B31" s="17" t="n">
        <v>9.699999999999999</v>
      </c>
      <c r="F31" s="4" t="inlineStr">
        <is>
          <t>±30% volatility</t>
        </is>
      </c>
    </row>
    <row r="32">
      <c r="A32" t="inlineStr">
        <is>
          <t>Training storage &amp; transfer — Fine-tune, $/mo</t>
        </is>
      </c>
      <c r="B32" s="17" t="n">
        <v>56.5</v>
      </c>
      <c r="F32" s="4" t="inlineStr">
        <is>
          <t>500 GB S3 + 500 GB gp3 + misc</t>
        </is>
      </c>
    </row>
    <row r="33">
      <c r="A33" t="inlineStr">
        <is>
          <t>Training storage &amp; transfer — Scale, $/mo</t>
        </is>
      </c>
      <c r="B33" s="17" t="n">
        <v>146</v>
      </c>
      <c r="F33" s="4" t="inlineStr">
        <is>
          <t>2 TB S3 + 1 TB gp3 + egress</t>
        </is>
      </c>
    </row>
    <row r="34">
      <c r="A34" s="9" t="inlineStr">
        <is>
          <t>SERVING INFRASTRUCTURE &amp; APIS, $/mo</t>
        </is>
      </c>
      <c r="B34" s="10" t="n"/>
      <c r="C34" s="10" t="n"/>
      <c r="D34" s="10" t="n"/>
      <c r="E34" s="10" t="n"/>
      <c r="F34" s="10" t="n"/>
    </row>
    <row r="35">
      <c r="A35" t="inlineStr">
        <is>
          <t>EC2 app server (t3.xlarge 1-yr RI)</t>
        </is>
      </c>
      <c r="B35" s="17" t="n">
        <v>76.14</v>
      </c>
      <c r="F35" s="4" t="inlineStr">
        <is>
          <t>verified us-east-1</t>
        </is>
      </c>
    </row>
    <row r="36">
      <c r="A36" t="inlineStr">
        <is>
          <t>EBS + snapshots + S3 backups</t>
        </is>
      </c>
      <c r="B36" s="17" t="n">
        <v>11.65</v>
      </c>
      <c r="F36" s="4" t="inlineStr">
        <is>
          <t>100 GB gp3 + 50 GB snap + 50 GB S3</t>
        </is>
      </c>
    </row>
    <row r="37">
      <c r="A37" t="inlineStr">
        <is>
          <t>Data transfer out</t>
        </is>
      </c>
      <c r="B37" s="17" t="n">
        <v>18</v>
      </c>
      <c r="F37" s="4" t="inlineStr">
        <is>
          <t>~300 GB/mo @ $0.09 after 100 GB free</t>
        </is>
      </c>
    </row>
    <row r="38">
      <c r="A38" t="inlineStr">
        <is>
          <t>SES email</t>
        </is>
      </c>
      <c r="B38" s="17" t="n">
        <v>1</v>
      </c>
      <c r="F38" s="4" t="inlineStr">
        <is>
          <t>$0.10/1k</t>
        </is>
      </c>
    </row>
    <row r="39">
      <c r="A39" t="inlineStr">
        <is>
          <t>Open-Meteo commercial license</t>
        </is>
      </c>
      <c r="B39" s="17" t="n">
        <v>33</v>
      </c>
      <c r="F39" s="4" t="inlineStr">
        <is>
          <t>REQUIRED to sell weather product</t>
        </is>
      </c>
    </row>
    <row r="40">
      <c r="A40" t="inlineStr">
        <is>
          <t>The Odds API (20K tier)</t>
        </is>
      </c>
      <c r="B40" s="17" t="n">
        <v>30</v>
      </c>
      <c r="F40" s="4" t="inlineStr">
        <is>
          <t>crypto-dashboard reads ODDS_API_KEY</t>
        </is>
      </c>
    </row>
    <row r="41">
      <c r="A41" t="inlineStr">
        <is>
          <t>Anthropic Claude API</t>
        </is>
      </c>
      <c r="B41" s="17" t="n">
        <v>50</v>
      </c>
      <c r="F41" s="4" t="inlineStr">
        <is>
          <t>email relay + signal explanations (Haiku 4.5 batch)</t>
        </is>
      </c>
    </row>
    <row r="42">
      <c r="A42" s="9" t="inlineStr">
        <is>
          <t>PEOPLE, G&amp;A &amp; S&amp;M, $/mo unless noted</t>
        </is>
      </c>
      <c r="B42" s="10" t="n"/>
      <c r="C42" s="10" t="n"/>
      <c r="D42" s="10" t="n"/>
      <c r="E42" s="10" t="n"/>
      <c r="F42" s="10" t="n"/>
    </row>
    <row r="43">
      <c r="A43" t="inlineStr">
        <is>
          <t>Founder salary, $/yr</t>
        </is>
      </c>
      <c r="B43" s="19" t="n">
        <v>0</v>
      </c>
      <c r="F43" s="4" t="inlineStr">
        <is>
          <t>DEFAULT $0 per plan — set e.g. 60000 when funded</t>
        </is>
      </c>
    </row>
    <row r="44">
      <c r="A44" t="inlineStr">
        <is>
          <t>Payroll tax &amp; fees, % of salary</t>
        </is>
      </c>
      <c r="B44" s="16" t="n">
        <v>0.1</v>
      </c>
      <c r="F44" s="4" t="inlineStr">
        <is>
          <t>employer side</t>
        </is>
      </c>
    </row>
    <row r="45">
      <c r="A45" t="inlineStr">
        <is>
          <t>ML contractor (Scale plan only)</t>
        </is>
      </c>
      <c r="B45" s="19" t="n">
        <v>1500</v>
      </c>
      <c r="F45" s="4" t="inlineStr">
        <is>
          <t>active only when Training plan = 2</t>
        </is>
      </c>
    </row>
    <row r="46">
      <c r="A46" t="inlineStr">
        <is>
          <t>Bookkeeping (Pilot Essentials)</t>
        </is>
      </c>
      <c r="B46" s="19" t="n">
        <v>99</v>
      </c>
      <c r="F46" s="4" t="inlineStr">
        <is>
          <t>verified</t>
        </is>
      </c>
    </row>
    <row r="47">
      <c r="A47" t="inlineStr">
        <is>
          <t>Insurance (GL+E&amp;O+cyber)</t>
        </is>
      </c>
      <c r="B47" s="19" t="n">
        <v>281</v>
      </c>
      <c r="F47" s="4" t="inlineStr">
        <is>
          <t>small-SaaS averages</t>
        </is>
      </c>
    </row>
    <row r="48">
      <c r="A48" t="inlineStr">
        <is>
          <t>Compliance amortized (DE tax, agent, filing)</t>
        </is>
      </c>
      <c r="B48" s="19" t="n">
        <v>125</v>
      </c>
      <c r="F48" s="4" t="inlineStr">
        <is>
          <t>$450+$100+$950 per year ÷ 12</t>
        </is>
      </c>
    </row>
    <row r="49">
      <c r="A49" t="inlineStr">
        <is>
          <t>SaaS &amp; tooling (domain, Workspace, Sentry, Apple)</t>
        </is>
      </c>
      <c r="B49" s="17" t="n">
        <v>48.14</v>
      </c>
      <c r="F49" s="4" t="inlineStr">
        <is>
          <t>see Pricing Data</t>
        </is>
      </c>
    </row>
    <row r="50">
      <c r="A50" t="inlineStr">
        <is>
          <t>Marketing — Fine-tune plan</t>
        </is>
      </c>
      <c r="B50" s="19" t="n">
        <v>500</v>
      </c>
      <c r="F50" s="4" t="inlineStr">
        <is>
          <t>planning figure</t>
        </is>
      </c>
    </row>
    <row r="51">
      <c r="A51" t="inlineStr">
        <is>
          <t>Marketing — Scale plan</t>
        </is>
      </c>
      <c r="B51" s="19" t="n">
        <v>1000</v>
      </c>
      <c r="F51" s="4" t="inlineStr">
        <is>
          <t>planning figure</t>
        </is>
      </c>
    </row>
    <row r="52">
      <c r="A52" s="9" t="inlineStr">
        <is>
          <t>ONE-TIME &amp; FINANCING</t>
        </is>
      </c>
      <c r="B52" s="10" t="n"/>
      <c r="C52" s="10" t="n"/>
      <c r="D52" s="10" t="n"/>
      <c r="E52" s="10" t="n"/>
      <c r="F52" s="10" t="n"/>
    </row>
    <row r="53">
      <c r="A53" t="inlineStr">
        <is>
          <t>Incorporation (Stripe Atlas)</t>
        </is>
      </c>
      <c r="B53" s="19" t="n">
        <v>500</v>
      </c>
      <c r="F53" s="4" t="inlineStr">
        <is>
          <t>one-time, M1</t>
        </is>
      </c>
    </row>
    <row r="54">
      <c r="A54" t="inlineStr">
        <is>
          <t>SAFE legal review</t>
        </is>
      </c>
      <c r="B54" s="19" t="n">
        <v>5000</v>
      </c>
      <c r="F54" s="4" t="inlineStr">
        <is>
          <t>one-time, M1</t>
        </is>
      </c>
    </row>
    <row r="55">
      <c r="A55" t="inlineStr">
        <is>
          <t>IA/CTA regulatory memo</t>
        </is>
      </c>
      <c r="B55" s="19" t="n">
        <v>15000</v>
      </c>
      <c r="F55" s="4" t="inlineStr">
        <is>
          <t>one-time, M1 — recommended before selling signals</t>
        </is>
      </c>
    </row>
    <row r="56">
      <c r="A56" t="inlineStr">
        <is>
          <t>SAFE proceeds raised</t>
        </is>
      </c>
      <c r="B56" s="19" t="n">
        <v>60000</v>
      </c>
      <c r="F56" s="4" t="inlineStr">
        <is>
          <t>cash in at M1; also drives Cap Table</t>
        </is>
      </c>
    </row>
    <row r="57">
      <c r="A57" t="inlineStr">
        <is>
          <t>SAFE post-money valuation cap</t>
        </is>
      </c>
      <c r="B57" s="19" t="n">
        <v>2000000</v>
      </c>
      <c r="F57" s="4" t="inlineStr">
        <is>
          <t>drives dilution on Cap Table</t>
        </is>
      </c>
    </row>
    <row r="58">
      <c r="A58" t="inlineStr">
        <is>
          <t>Founder shares outstanding</t>
        </is>
      </c>
      <c r="B58" s="14" t="n">
        <v>10000000</v>
      </c>
      <c r="F58" s="4" t="inlineStr">
        <is>
          <t>pre-conversion</t>
        </is>
      </c>
    </row>
    <row r="59">
      <c r="A59" t="inlineStr">
        <is>
          <t>Raise buffer for recommendation</t>
        </is>
      </c>
      <c r="B59" s="16" t="n">
        <v>0.25</v>
      </c>
      <c r="F59" s="4" t="inlineStr">
        <is>
          <t>cushion on peak need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2" customWidth="1" min="3" max="3"/>
    <col width="30" customWidth="1" min="4" max="4"/>
    <col width="56" customWidth="1" min="5" max="5"/>
  </cols>
  <sheetData>
    <row r="1">
      <c r="A1" s="7" t="inlineStr">
        <is>
          <t>narve.ai — Pricing Data</t>
        </is>
      </c>
    </row>
    <row r="2">
      <c r="A2" s="8" t="inlineStr">
        <is>
          <t>Reference only (not linked into calculations — Drivers carries the live values). Verified 2026-07-02.</t>
        </is>
      </c>
    </row>
    <row r="4">
      <c r="A4" s="9" t="inlineStr">
        <is>
          <t>AWS — GPU training (us-east-1, official price list)</t>
        </is>
      </c>
      <c r="B4" s="10" t="n"/>
      <c r="C4" s="10" t="n"/>
      <c r="D4" s="10" t="n"/>
      <c r="E4" s="10" t="n"/>
    </row>
    <row r="5">
      <c r="A5" s="20" t="inlineStr">
        <is>
          <t>Item</t>
        </is>
      </c>
      <c r="B5" s="20" t="inlineStr">
        <is>
          <t>Tier</t>
        </is>
      </c>
      <c r="C5" s="20" t="inlineStr">
        <is>
          <t>Price $</t>
        </is>
      </c>
      <c r="D5" s="20" t="inlineStr">
        <is>
          <t>Unit</t>
        </is>
      </c>
      <c r="E5" s="20" t="inlineStr">
        <is>
          <t>Source</t>
        </is>
      </c>
    </row>
    <row r="6">
      <c r="A6" t="inlineStr">
        <is>
          <t>g5.xlarge (1× A10G 24GB)</t>
        </is>
      </c>
      <c r="B6" t="inlineStr">
        <is>
          <t>on-demand / spot</t>
        </is>
      </c>
      <c r="C6" s="21" t="n">
        <v>1.006</v>
      </c>
      <c r="D6" t="inlineStr">
        <is>
          <t>per hr (spot ~$0.44)</t>
        </is>
      </c>
      <c r="E6" t="inlineStr">
        <is>
          <t>pricing.us-east-1.amazonaws.com</t>
        </is>
      </c>
    </row>
    <row r="7">
      <c r="A7" t="inlineStr">
        <is>
          <t>g6.xlarge (1× L4 24GB)</t>
        </is>
      </c>
      <c r="B7" t="inlineStr">
        <is>
          <t>on-demand / spot</t>
        </is>
      </c>
      <c r="C7" s="21" t="n">
        <v>0.8048</v>
      </c>
      <c r="D7" t="inlineStr">
        <is>
          <t>per hr (spot ~$0.41)</t>
        </is>
      </c>
      <c r="E7" t="inlineStr">
        <is>
          <t>pricing.us-east-1.amazonaws.com</t>
        </is>
      </c>
    </row>
    <row r="8">
      <c r="A8" t="inlineStr">
        <is>
          <t>g6e.xlarge (1× L40S 48GB)</t>
        </is>
      </c>
      <c r="B8" t="inlineStr">
        <is>
          <t>on-demand / reserved / spot</t>
        </is>
      </c>
      <c r="C8" s="21" t="n">
        <v>1.861</v>
      </c>
      <c r="D8" t="inlineStr">
        <is>
          <t>per hr / $1.1724 RI / ~$1.2 spot</t>
        </is>
      </c>
      <c r="E8" t="inlineStr">
        <is>
          <t>pricing.us-east-1.amazonaws.com</t>
        </is>
      </c>
    </row>
    <row r="9">
      <c r="A9" t="inlineStr">
        <is>
          <t>g6e.12xlarge (4× L40S)</t>
        </is>
      </c>
      <c r="B9" t="inlineStr">
        <is>
          <t>on-demand / spot</t>
        </is>
      </c>
      <c r="C9" s="21" t="n">
        <v>10.49</v>
      </c>
      <c r="D9" t="inlineStr">
        <is>
          <t>per hr (spot ~$5.1)</t>
        </is>
      </c>
      <c r="E9" t="inlineStr">
        <is>
          <t>pricing.us-east-1.amazonaws.com</t>
        </is>
      </c>
    </row>
    <row r="10">
      <c r="A10" t="inlineStr">
        <is>
          <t>p4d.24xlarge (8× A100 40GB)</t>
        </is>
      </c>
      <c r="B10" t="inlineStr">
        <is>
          <t>on-demand / spot</t>
        </is>
      </c>
      <c r="C10" s="21" t="n">
        <v>21.96</v>
      </c>
      <c r="D10" t="inlineStr">
        <is>
          <t>per hr (spot ~$9.7 ±30%)</t>
        </is>
      </c>
      <c r="E10" t="inlineStr">
        <is>
          <t>pricing.us-east-1.amazonaws.com</t>
        </is>
      </c>
    </row>
    <row r="11">
      <c r="A11" t="inlineStr">
        <is>
          <t>p5.48xlarge (8× H100 80GB)</t>
        </is>
      </c>
      <c r="B11" t="inlineStr">
        <is>
          <t>on-demand</t>
        </is>
      </c>
      <c r="C11" s="21" t="n">
        <v>55.04</v>
      </c>
      <c r="D11" t="inlineStr">
        <is>
          <t>per hr ($6.88/GPU-hr)</t>
        </is>
      </c>
      <c r="E11" t="inlineStr">
        <is>
          <t>pricing.us-east-1.amazonaws.com</t>
        </is>
      </c>
    </row>
    <row r="12">
      <c r="A12" t="inlineStr">
        <is>
          <t>p5.48xlarge Capacity Blocks</t>
        </is>
      </c>
      <c r="B12" t="inlineStr">
        <is>
          <t>reservation (floats)</t>
        </is>
      </c>
      <c r="C12" s="21" t="n">
        <v>41.53</v>
      </c>
      <c r="D12" t="inlineStr">
        <is>
          <t>per hr ($5.191/GPU-hr post Jul-26 hike)</t>
        </is>
      </c>
      <c r="E12" t="inlineStr">
        <is>
          <t>aws.amazon.com/ec2/capacityblocks/pricing/</t>
        </is>
      </c>
    </row>
    <row r="13">
      <c r="A13" t="inlineStr">
        <is>
          <t>trn1.32xlarge (16× Trainium)</t>
        </is>
      </c>
      <c r="B13" t="inlineStr">
        <is>
          <t>on-demand / spot</t>
        </is>
      </c>
      <c r="C13" s="21" t="n">
        <v>21.5</v>
      </c>
      <c r="D13" t="inlineStr">
        <is>
          <t>per hr (spot ~$8.4, &lt;5% interruption)</t>
        </is>
      </c>
      <c r="E13" t="inlineStr">
        <is>
          <t>pricing.us-east-1.amazonaws.com</t>
        </is>
      </c>
    </row>
    <row r="15">
      <c r="A15" s="9" t="inlineStr">
        <is>
          <t>AWS — serving</t>
        </is>
      </c>
      <c r="B15" s="10" t="n"/>
      <c r="C15" s="10" t="n"/>
      <c r="D15" s="10" t="n"/>
      <c r="E15" s="10" t="n"/>
    </row>
    <row r="16">
      <c r="A16" s="20" t="inlineStr">
        <is>
          <t>Item</t>
        </is>
      </c>
      <c r="B16" s="20" t="inlineStr">
        <is>
          <t>Tier</t>
        </is>
      </c>
      <c r="C16" s="20" t="inlineStr">
        <is>
          <t>Price $</t>
        </is>
      </c>
      <c r="D16" s="20" t="inlineStr">
        <is>
          <t>Unit</t>
        </is>
      </c>
      <c r="E16" s="20" t="inlineStr">
        <is>
          <t>Source</t>
        </is>
      </c>
    </row>
    <row r="17">
      <c r="A17" t="inlineStr">
        <is>
          <t>EC2 t3.xlarge</t>
        </is>
      </c>
      <c r="B17" t="inlineStr">
        <is>
          <t>1-yr no-upfront RI</t>
        </is>
      </c>
      <c r="C17" s="21" t="n">
        <v>76.14</v>
      </c>
      <c r="D17" t="inlineStr">
        <is>
          <t>per month</t>
        </is>
      </c>
      <c r="E17" t="inlineStr">
        <is>
          <t>aws.amazon.com/ec2/pricing/reserved-instances/</t>
        </is>
      </c>
    </row>
    <row r="18">
      <c r="A18" t="inlineStr">
        <is>
          <t>EBS gp3 / snapshots / S3</t>
        </is>
      </c>
      <c r="B18" t="inlineStr">
        <is>
          <t>standard</t>
        </is>
      </c>
      <c r="C18" s="21" t="n">
        <v>0.08</v>
      </c>
      <c r="D18" t="inlineStr">
        <is>
          <t>$0.08 / $0.05 / $0.023 per GB-mo</t>
        </is>
      </c>
      <c r="E18" t="inlineStr">
        <is>
          <t>aws.amazon.com pricing pages</t>
        </is>
      </c>
    </row>
    <row r="19">
      <c r="A19" t="inlineStr">
        <is>
          <t>Data transfer out</t>
        </is>
      </c>
      <c r="B19" t="inlineStr">
        <is>
          <t>after 100 GB free</t>
        </is>
      </c>
      <c r="C19" s="21" t="n">
        <v>0.09</v>
      </c>
      <c r="D19" t="inlineStr">
        <is>
          <t>per GB (first 10 TB)</t>
        </is>
      </c>
      <c r="E19" t="inlineStr">
        <is>
          <t>aws.amazon.com/ec2/pricing/on-demand/</t>
        </is>
      </c>
    </row>
    <row r="20">
      <c r="A20" t="inlineStr">
        <is>
          <t>SES</t>
        </is>
      </c>
      <c r="B20" t="inlineStr">
        <is>
          <t>standard</t>
        </is>
      </c>
      <c r="C20" s="21" t="n">
        <v>0.1</v>
      </c>
      <c r="D20" t="inlineStr">
        <is>
          <t>per 1,000 emails</t>
        </is>
      </c>
      <c r="E20" t="inlineStr">
        <is>
          <t>aws.amazon.com/ses/pricing/</t>
        </is>
      </c>
    </row>
    <row r="22">
      <c r="A22" s="9" t="inlineStr">
        <is>
          <t>APIs &amp; SaaS</t>
        </is>
      </c>
      <c r="B22" s="10" t="n"/>
      <c r="C22" s="10" t="n"/>
      <c r="D22" s="10" t="n"/>
      <c r="E22" s="10" t="n"/>
    </row>
    <row r="23">
      <c r="A23" s="20" t="inlineStr">
        <is>
          <t>Item</t>
        </is>
      </c>
      <c r="B23" s="20" t="inlineStr">
        <is>
          <t>Tier</t>
        </is>
      </c>
      <c r="C23" s="20" t="inlineStr">
        <is>
          <t>Price $</t>
        </is>
      </c>
      <c r="D23" s="20" t="inlineStr">
        <is>
          <t>Unit</t>
        </is>
      </c>
      <c r="E23" s="20" t="inlineStr">
        <is>
          <t>Source</t>
        </is>
      </c>
    </row>
    <row r="24">
      <c r="A24" t="inlineStr">
        <is>
          <t>Open-Meteo commercial</t>
        </is>
      </c>
      <c r="B24" t="inlineStr">
        <is>
          <t>API Standard</t>
        </is>
      </c>
      <c r="C24" s="21" t="n">
        <v>33</v>
      </c>
      <c r="D24" t="inlineStr">
        <is>
          <t>per month (EUR 29)</t>
        </is>
      </c>
      <c r="E24" t="inlineStr">
        <is>
          <t>open-meteo.com/en/pricing</t>
        </is>
      </c>
    </row>
    <row r="25">
      <c r="A25" t="inlineStr">
        <is>
          <t>The Odds API</t>
        </is>
      </c>
      <c r="B25" t="inlineStr">
        <is>
          <t>20K credits</t>
        </is>
      </c>
      <c r="C25" s="21" t="n">
        <v>30</v>
      </c>
      <c r="D25" t="inlineStr">
        <is>
          <t>per month</t>
        </is>
      </c>
      <c r="E25" t="inlineStr">
        <is>
          <t>the-odds-api.com</t>
        </is>
      </c>
    </row>
    <row r="26">
      <c r="A26" t="inlineStr">
        <is>
          <t>Anthropic Claude Haiku 4.5</t>
        </is>
      </c>
      <c r="B26" t="inlineStr">
        <is>
          <t>input/output</t>
        </is>
      </c>
      <c r="C26" s="21" t="n">
        <v>1</v>
      </c>
      <c r="D26" t="inlineStr">
        <is>
          <t>$1 / $5 per MTok (batch −50%)</t>
        </is>
      </c>
      <c r="E26" t="inlineStr">
        <is>
          <t>platform.claude.com/docs/en/about-claude/pricing</t>
        </is>
      </c>
    </row>
    <row r="27">
      <c r="A27" t="inlineStr">
        <is>
          <t>Stripe</t>
        </is>
      </c>
      <c r="B27" t="inlineStr">
        <is>
          <t>US cards + Billing</t>
        </is>
      </c>
      <c r="C27" s="21" t="n">
        <v>2.9</v>
      </c>
      <c r="D27" t="inlineStr">
        <is>
          <t>% + $0.30 + 0.7% Billing</t>
        </is>
      </c>
      <c r="E27" t="inlineStr">
        <is>
          <t>stripe.com/pricing</t>
        </is>
      </c>
    </row>
    <row r="28">
      <c r="A28" t="inlineStr">
        <is>
          <t>.ai domain</t>
        </is>
      </c>
      <c r="B28" t="inlineStr">
        <is>
          <t>Porkbun renewal</t>
        </is>
      </c>
      <c r="C28" s="21" t="n">
        <v>82.7</v>
      </c>
      <c r="D28" t="inlineStr">
        <is>
          <t>per year</t>
        </is>
      </c>
      <c r="E28" t="inlineStr">
        <is>
          <t>porkbun.com</t>
        </is>
      </c>
    </row>
    <row r="29">
      <c r="A29" t="inlineStr">
        <is>
          <t>Google Workspace / Sentry Team / Apple Dev</t>
        </is>
      </c>
      <c r="B29" t="inlineStr">
        <is>
          <t>various</t>
        </is>
      </c>
      <c r="C29" s="21" t="n">
        <v>41.25</v>
      </c>
      <c r="D29" t="inlineStr">
        <is>
          <t>$7 + $26 + $8.25 per month</t>
        </is>
      </c>
      <c r="E29" t="inlineStr">
        <is>
          <t>official pricing pages</t>
        </is>
      </c>
    </row>
    <row r="31">
      <c r="A31" s="9" t="inlineStr">
        <is>
          <t>Professional (Delaware C-corp)</t>
        </is>
      </c>
      <c r="B31" s="10" t="n"/>
      <c r="C31" s="10" t="n"/>
      <c r="D31" s="10" t="n"/>
      <c r="E31" s="10" t="n"/>
    </row>
    <row r="32">
      <c r="A32" s="20" t="inlineStr">
        <is>
          <t>Item</t>
        </is>
      </c>
      <c r="B32" s="20" t="inlineStr">
        <is>
          <t>Tier</t>
        </is>
      </c>
      <c r="C32" s="20" t="inlineStr">
        <is>
          <t>Price $</t>
        </is>
      </c>
      <c r="D32" s="20" t="inlineStr">
        <is>
          <t>Unit</t>
        </is>
      </c>
      <c r="E32" s="20" t="inlineStr">
        <is>
          <t>Source</t>
        </is>
      </c>
    </row>
    <row r="33">
      <c r="A33" t="inlineStr">
        <is>
          <t>Stripe Atlas incorporation</t>
        </is>
      </c>
      <c r="B33" t="inlineStr">
        <is>
          <t>one-time</t>
        </is>
      </c>
      <c r="C33" s="21" t="n">
        <v>500</v>
      </c>
      <c r="D33" t="inlineStr">
        <is>
          <t>one-time</t>
        </is>
      </c>
      <c r="E33" t="inlineStr">
        <is>
          <t>stripe.com/atlas</t>
        </is>
      </c>
    </row>
    <row r="34">
      <c r="A34" t="inlineStr">
        <is>
          <t>DE franchise tax + report</t>
        </is>
      </c>
      <c r="B34" t="inlineStr">
        <is>
          <t>APV minimum</t>
        </is>
      </c>
      <c r="C34" s="21" t="n">
        <v>450</v>
      </c>
      <c r="D34" t="inlineStr">
        <is>
          <t>per year</t>
        </is>
      </c>
      <c r="E34" t="inlineStr">
        <is>
          <t>corp.delaware.gov/frtaxcalc/</t>
        </is>
      </c>
    </row>
    <row r="35">
      <c r="A35" t="inlineStr">
        <is>
          <t>Registered agent</t>
        </is>
      </c>
      <c r="B35" t="inlineStr">
        <is>
          <t>from year 2</t>
        </is>
      </c>
      <c r="C35" s="21" t="n">
        <v>100</v>
      </c>
      <c r="D35" t="inlineStr">
        <is>
          <t>per year</t>
        </is>
      </c>
      <c r="E35" t="inlineStr">
        <is>
          <t>support.stripe.com</t>
        </is>
      </c>
    </row>
    <row r="36">
      <c r="A36" t="inlineStr">
        <is>
          <t>Pilot Essentials bookkeeping</t>
        </is>
      </c>
      <c r="B36" t="inlineStr">
        <is>
          <t>monthly</t>
        </is>
      </c>
      <c r="C36" s="21" t="n">
        <v>99</v>
      </c>
      <c r="D36" t="inlineStr">
        <is>
          <t>per month</t>
        </is>
      </c>
      <c r="E36" t="inlineStr">
        <is>
          <t>pilot.com/pricing</t>
        </is>
      </c>
    </row>
    <row r="37">
      <c r="A37" t="inlineStr">
        <is>
          <t>Fondo TaxPass</t>
        </is>
      </c>
      <c r="B37" t="inlineStr">
        <is>
          <t>annual</t>
        </is>
      </c>
      <c r="C37" s="21" t="n">
        <v>950</v>
      </c>
      <c r="D37" t="inlineStr">
        <is>
          <t>per year</t>
        </is>
      </c>
      <c r="E37" t="inlineStr">
        <is>
          <t>fondo.com/pricing</t>
        </is>
      </c>
    </row>
    <row r="38">
      <c r="A38" t="inlineStr">
        <is>
          <t>Insurance GL+E&amp;O+cyber</t>
        </is>
      </c>
      <c r="B38" t="inlineStr">
        <is>
          <t>small SaaS avg</t>
        </is>
      </c>
      <c r="C38" s="21" t="n">
        <v>281</v>
      </c>
      <c r="D38" t="inlineStr">
        <is>
          <t>per month</t>
        </is>
      </c>
      <c r="E38" t="inlineStr">
        <is>
          <t>insureon.com / techinsurance.com</t>
        </is>
      </c>
    </row>
    <row r="39">
      <c r="A39" t="inlineStr">
        <is>
          <t>SAFE round legal</t>
        </is>
      </c>
      <c r="B39" t="inlineStr">
        <is>
          <t>review</t>
        </is>
      </c>
      <c r="C39" s="21" t="n">
        <v>5000</v>
      </c>
      <c r="D39" t="inlineStr">
        <is>
          <t>one-time (YC docs free)</t>
        </is>
      </c>
      <c r="E39" t="inlineStr">
        <is>
          <t>siliconhillslawyer.com</t>
        </is>
      </c>
    </row>
    <row r="40">
      <c r="A40" t="inlineStr">
        <is>
          <t>IA/CTA regulatory memo</t>
        </is>
      </c>
      <c r="B40" t="inlineStr">
        <is>
          <t>one-time</t>
        </is>
      </c>
      <c r="C40" s="21" t="n">
        <v>15000</v>
      </c>
      <c r="D40" t="inlineStr">
        <is>
          <t>midpoint of $5–25k</t>
        </is>
      </c>
      <c r="E40" t="inlineStr">
        <is>
          <t>specialist counsel estimate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7"/>
  <sheetViews>
    <sheetView workbookViewId="0">
      <selection activeCell="A1" sqref="A1"/>
    </sheetView>
  </sheetViews>
  <sheetFormatPr baseColWidth="8" defaultRowHeight="15"/>
  <cols>
    <col width="4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Revenue Build</t>
        </is>
      </c>
    </row>
    <row r="2">
      <c r="A2" s="8" t="inlineStr">
        <is>
          <t>Bottoms-up: gross adds split by product mix; per-product churn waterfall; MRR = subs × price.</t>
        </is>
      </c>
    </row>
    <row r="4">
      <c r="A4" s="22" t="inlineStr">
        <is>
          <t>($ unless noted)</t>
        </is>
      </c>
      <c r="B4" s="23" t="inlineStr">
        <is>
          <t>M1 Aug-26</t>
        </is>
      </c>
      <c r="C4" s="23" t="inlineStr">
        <is>
          <t>M2 Sep-26</t>
        </is>
      </c>
      <c r="D4" s="23" t="inlineStr">
        <is>
          <t>M3 Oct-26</t>
        </is>
      </c>
      <c r="E4" s="23" t="inlineStr">
        <is>
          <t>M4 Nov-26</t>
        </is>
      </c>
      <c r="F4" s="23" t="inlineStr">
        <is>
          <t>M5 Dec-26</t>
        </is>
      </c>
      <c r="G4" s="23" t="inlineStr">
        <is>
          <t>M6 Jan-27</t>
        </is>
      </c>
      <c r="H4" s="23" t="inlineStr">
        <is>
          <t>M7 Feb-27</t>
        </is>
      </c>
      <c r="I4" s="23" t="inlineStr">
        <is>
          <t>M8 Mar-27</t>
        </is>
      </c>
      <c r="J4" s="23" t="inlineStr">
        <is>
          <t>M9 Apr-27</t>
        </is>
      </c>
      <c r="K4" s="23" t="inlineStr">
        <is>
          <t>M10 May-27</t>
        </is>
      </c>
      <c r="L4" s="23" t="inlineStr">
        <is>
          <t>M11 Jun-27</t>
        </is>
      </c>
      <c r="M4" s="23" t="inlineStr">
        <is>
          <t>M12 Jul-27</t>
        </is>
      </c>
      <c r="N4" s="23" t="inlineStr">
        <is>
          <t>M13 Aug-27</t>
        </is>
      </c>
      <c r="O4" s="23" t="inlineStr">
        <is>
          <t>M14 Sep-27</t>
        </is>
      </c>
      <c r="P4" s="23" t="inlineStr">
        <is>
          <t>M15 Oct-27</t>
        </is>
      </c>
      <c r="Q4" s="23" t="inlineStr">
        <is>
          <t>M16 Nov-27</t>
        </is>
      </c>
      <c r="R4" s="23" t="inlineStr">
        <is>
          <t>M17 Dec-27</t>
        </is>
      </c>
      <c r="S4" s="23" t="inlineStr">
        <is>
          <t>M18 Jan-28</t>
        </is>
      </c>
      <c r="T4" s="23" t="inlineStr">
        <is>
          <t>M19 Feb-28</t>
        </is>
      </c>
      <c r="U4" s="23" t="inlineStr">
        <is>
          <t>M20 Mar-28</t>
        </is>
      </c>
      <c r="V4" s="23" t="inlineStr">
        <is>
          <t>M21 Apr-28</t>
        </is>
      </c>
      <c r="W4" s="23" t="inlineStr">
        <is>
          <t>M22 May-28</t>
        </is>
      </c>
      <c r="X4" s="23" t="inlineStr">
        <is>
          <t>M23 Jun-28</t>
        </is>
      </c>
      <c r="Y4" s="23" t="inlineStr">
        <is>
          <t>M24 Jul-28</t>
        </is>
      </c>
      <c r="Z4" s="23" t="inlineStr">
        <is>
          <t>M25 Aug-28</t>
        </is>
      </c>
      <c r="AA4" s="23" t="inlineStr">
        <is>
          <t>M26 Sep-28</t>
        </is>
      </c>
      <c r="AB4" s="23" t="inlineStr">
        <is>
          <t>M27 Oct-28</t>
        </is>
      </c>
      <c r="AC4" s="23" t="inlineStr">
        <is>
          <t>M28 Nov-28</t>
        </is>
      </c>
      <c r="AD4" s="23" t="inlineStr">
        <is>
          <t>M29 Dec-28</t>
        </is>
      </c>
      <c r="AE4" s="23" t="inlineStr">
        <is>
          <t>M30 Jan-29</t>
        </is>
      </c>
      <c r="AF4" s="23" t="inlineStr">
        <is>
          <t>M31 Feb-29</t>
        </is>
      </c>
      <c r="AG4" s="23" t="inlineStr">
        <is>
          <t>M32 Mar-29</t>
        </is>
      </c>
      <c r="AH4" s="23" t="inlineStr">
        <is>
          <t>M33 Apr-29</t>
        </is>
      </c>
      <c r="AI4" s="23" t="inlineStr">
        <is>
          <t>M34 May-29</t>
        </is>
      </c>
      <c r="AJ4" s="23" t="inlineStr">
        <is>
          <t>M35 Jun-29</t>
        </is>
      </c>
      <c r="AK4" s="23" t="inlineStr">
        <is>
          <t>M36 Jul-29</t>
        </is>
      </c>
    </row>
    <row r="5">
      <c r="A5" s="9" t="inlineStr">
        <is>
          <t>TOTAL ACQUISITION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Gross adds — total</t>
        </is>
      </c>
      <c r="B6" s="24">
        <f>Drivers!$B$9</f>
        <v/>
      </c>
      <c r="C6" s="24">
        <f>MIN(Drivers!$B$11,B6*(1+Drivers!$B$10))</f>
        <v/>
      </c>
      <c r="D6" s="24">
        <f>MIN(Drivers!$B$11,C6*(1+Drivers!$B$10))</f>
        <v/>
      </c>
      <c r="E6" s="24">
        <f>MIN(Drivers!$B$11,D6*(1+Drivers!$B$10))</f>
        <v/>
      </c>
      <c r="F6" s="24">
        <f>MIN(Drivers!$B$11,E6*(1+Drivers!$B$10))</f>
        <v/>
      </c>
      <c r="G6" s="24">
        <f>MIN(Drivers!$B$11,F6*(1+Drivers!$B$10))</f>
        <v/>
      </c>
      <c r="H6" s="24">
        <f>MIN(Drivers!$B$11,G6*(1+Drivers!$B$10))</f>
        <v/>
      </c>
      <c r="I6" s="24">
        <f>MIN(Drivers!$B$11,H6*(1+Drivers!$B$10))</f>
        <v/>
      </c>
      <c r="J6" s="24">
        <f>MIN(Drivers!$B$11,I6*(1+Drivers!$B$10))</f>
        <v/>
      </c>
      <c r="K6" s="24">
        <f>MIN(Drivers!$B$11,J6*(1+Drivers!$B$10))</f>
        <v/>
      </c>
      <c r="L6" s="24">
        <f>MIN(Drivers!$B$11,K6*(1+Drivers!$B$10))</f>
        <v/>
      </c>
      <c r="M6" s="24">
        <f>MIN(Drivers!$B$11,L6*(1+Drivers!$B$10))</f>
        <v/>
      </c>
      <c r="N6" s="24">
        <f>MIN(Drivers!$B$11,M6*(1+Drivers!$B$10))</f>
        <v/>
      </c>
      <c r="O6" s="24">
        <f>MIN(Drivers!$B$11,N6*(1+Drivers!$B$10))</f>
        <v/>
      </c>
      <c r="P6" s="24">
        <f>MIN(Drivers!$B$11,O6*(1+Drivers!$B$10))</f>
        <v/>
      </c>
      <c r="Q6" s="24">
        <f>MIN(Drivers!$B$11,P6*(1+Drivers!$B$10))</f>
        <v/>
      </c>
      <c r="R6" s="24">
        <f>MIN(Drivers!$B$11,Q6*(1+Drivers!$B$10))</f>
        <v/>
      </c>
      <c r="S6" s="24">
        <f>MIN(Drivers!$B$11,R6*(1+Drivers!$B$10))</f>
        <v/>
      </c>
      <c r="T6" s="24">
        <f>MIN(Drivers!$B$11,S6*(1+Drivers!$B$10))</f>
        <v/>
      </c>
      <c r="U6" s="24">
        <f>MIN(Drivers!$B$11,T6*(1+Drivers!$B$10))</f>
        <v/>
      </c>
      <c r="V6" s="24">
        <f>MIN(Drivers!$B$11,U6*(1+Drivers!$B$10))</f>
        <v/>
      </c>
      <c r="W6" s="24">
        <f>MIN(Drivers!$B$11,V6*(1+Drivers!$B$10))</f>
        <v/>
      </c>
      <c r="X6" s="24">
        <f>MIN(Drivers!$B$11,W6*(1+Drivers!$B$10))</f>
        <v/>
      </c>
      <c r="Y6" s="24">
        <f>MIN(Drivers!$B$11,X6*(1+Drivers!$B$10))</f>
        <v/>
      </c>
      <c r="Z6" s="24">
        <f>MIN(Drivers!$B$11,Y6*(1+Drivers!$B$10))</f>
        <v/>
      </c>
      <c r="AA6" s="24">
        <f>MIN(Drivers!$B$11,Z6*(1+Drivers!$B$10))</f>
        <v/>
      </c>
      <c r="AB6" s="24">
        <f>MIN(Drivers!$B$11,AA6*(1+Drivers!$B$10))</f>
        <v/>
      </c>
      <c r="AC6" s="24">
        <f>MIN(Drivers!$B$11,AB6*(1+Drivers!$B$10))</f>
        <v/>
      </c>
      <c r="AD6" s="24">
        <f>MIN(Drivers!$B$11,AC6*(1+Drivers!$B$10))</f>
        <v/>
      </c>
      <c r="AE6" s="24">
        <f>MIN(Drivers!$B$11,AD6*(1+Drivers!$B$10))</f>
        <v/>
      </c>
      <c r="AF6" s="24">
        <f>MIN(Drivers!$B$11,AE6*(1+Drivers!$B$10))</f>
        <v/>
      </c>
      <c r="AG6" s="24">
        <f>MIN(Drivers!$B$11,AF6*(1+Drivers!$B$10))</f>
        <v/>
      </c>
      <c r="AH6" s="24">
        <f>MIN(Drivers!$B$11,AG6*(1+Drivers!$B$10))</f>
        <v/>
      </c>
      <c r="AI6" s="24">
        <f>MIN(Drivers!$B$11,AH6*(1+Drivers!$B$10))</f>
        <v/>
      </c>
      <c r="AJ6" s="24">
        <f>MIN(Drivers!$B$11,AI6*(1+Drivers!$B$10))</f>
        <v/>
      </c>
      <c r="AK6" s="24">
        <f>MIN(Drivers!$B$11,AJ6*(1+Drivers!$B$10))</f>
        <v/>
      </c>
    </row>
    <row r="7">
      <c r="A7" s="9" t="inlineStr">
        <is>
          <t>WEATHER ($7.99)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</row>
    <row r="8">
      <c r="A8" t="inlineStr">
        <is>
          <t xml:space="preserve">  Gross adds</t>
        </is>
      </c>
      <c r="B8" s="24">
        <f>B6*Drivers!$B$17</f>
        <v/>
      </c>
      <c r="C8" s="24">
        <f>C6*Drivers!$B$17</f>
        <v/>
      </c>
      <c r="D8" s="24">
        <f>D6*Drivers!$B$17</f>
        <v/>
      </c>
      <c r="E8" s="24">
        <f>E6*Drivers!$B$17</f>
        <v/>
      </c>
      <c r="F8" s="24">
        <f>F6*Drivers!$B$17</f>
        <v/>
      </c>
      <c r="G8" s="24">
        <f>G6*Drivers!$B$17</f>
        <v/>
      </c>
      <c r="H8" s="24">
        <f>H6*Drivers!$B$17</f>
        <v/>
      </c>
      <c r="I8" s="24">
        <f>I6*Drivers!$B$17</f>
        <v/>
      </c>
      <c r="J8" s="24">
        <f>J6*Drivers!$B$17</f>
        <v/>
      </c>
      <c r="K8" s="24">
        <f>K6*Drivers!$B$17</f>
        <v/>
      </c>
      <c r="L8" s="24">
        <f>L6*Drivers!$B$17</f>
        <v/>
      </c>
      <c r="M8" s="24">
        <f>M6*Drivers!$B$17</f>
        <v/>
      </c>
      <c r="N8" s="24">
        <f>N6*Drivers!$B$17</f>
        <v/>
      </c>
      <c r="O8" s="24">
        <f>O6*Drivers!$B$17</f>
        <v/>
      </c>
      <c r="P8" s="24">
        <f>P6*Drivers!$B$17</f>
        <v/>
      </c>
      <c r="Q8" s="24">
        <f>Q6*Drivers!$B$17</f>
        <v/>
      </c>
      <c r="R8" s="24">
        <f>R6*Drivers!$B$17</f>
        <v/>
      </c>
      <c r="S8" s="24">
        <f>S6*Drivers!$B$17</f>
        <v/>
      </c>
      <c r="T8" s="24">
        <f>T6*Drivers!$B$17</f>
        <v/>
      </c>
      <c r="U8" s="24">
        <f>U6*Drivers!$B$17</f>
        <v/>
      </c>
      <c r="V8" s="24">
        <f>V6*Drivers!$B$17</f>
        <v/>
      </c>
      <c r="W8" s="24">
        <f>W6*Drivers!$B$17</f>
        <v/>
      </c>
      <c r="X8" s="24">
        <f>X6*Drivers!$B$17</f>
        <v/>
      </c>
      <c r="Y8" s="24">
        <f>Y6*Drivers!$B$17</f>
        <v/>
      </c>
      <c r="Z8" s="24">
        <f>Z6*Drivers!$B$17</f>
        <v/>
      </c>
      <c r="AA8" s="24">
        <f>AA6*Drivers!$B$17</f>
        <v/>
      </c>
      <c r="AB8" s="24">
        <f>AB6*Drivers!$B$17</f>
        <v/>
      </c>
      <c r="AC8" s="24">
        <f>AC6*Drivers!$B$17</f>
        <v/>
      </c>
      <c r="AD8" s="24">
        <f>AD6*Drivers!$B$17</f>
        <v/>
      </c>
      <c r="AE8" s="24">
        <f>AE6*Drivers!$B$17</f>
        <v/>
      </c>
      <c r="AF8" s="24">
        <f>AF6*Drivers!$B$17</f>
        <v/>
      </c>
      <c r="AG8" s="24">
        <f>AG6*Drivers!$B$17</f>
        <v/>
      </c>
      <c r="AH8" s="24">
        <f>AH6*Drivers!$B$17</f>
        <v/>
      </c>
      <c r="AI8" s="24">
        <f>AI6*Drivers!$B$17</f>
        <v/>
      </c>
      <c r="AJ8" s="24">
        <f>AJ6*Drivers!$B$17</f>
        <v/>
      </c>
      <c r="AK8" s="24">
        <f>AK6*Drivers!$B$17</f>
        <v/>
      </c>
    </row>
    <row r="9">
      <c r="A9" t="inlineStr">
        <is>
          <t xml:space="preserve">  Churned</t>
        </is>
      </c>
      <c r="B9" s="24" t="n">
        <v>0</v>
      </c>
      <c r="C9" s="24">
        <f>B10*Drivers!$B$12</f>
        <v/>
      </c>
      <c r="D9" s="24">
        <f>C10*Drivers!$B$12</f>
        <v/>
      </c>
      <c r="E9" s="24">
        <f>D10*Drivers!$B$12</f>
        <v/>
      </c>
      <c r="F9" s="24">
        <f>E10*Drivers!$B$12</f>
        <v/>
      </c>
      <c r="G9" s="24">
        <f>F10*Drivers!$B$12</f>
        <v/>
      </c>
      <c r="H9" s="24">
        <f>G10*Drivers!$B$12</f>
        <v/>
      </c>
      <c r="I9" s="24">
        <f>H10*Drivers!$B$12</f>
        <v/>
      </c>
      <c r="J9" s="24">
        <f>I10*Drivers!$B$12</f>
        <v/>
      </c>
      <c r="K9" s="24">
        <f>J10*Drivers!$B$12</f>
        <v/>
      </c>
      <c r="L9" s="24">
        <f>K10*Drivers!$B$12</f>
        <v/>
      </c>
      <c r="M9" s="24">
        <f>L10*Drivers!$B$12</f>
        <v/>
      </c>
      <c r="N9" s="24">
        <f>M10*Drivers!$B$12</f>
        <v/>
      </c>
      <c r="O9" s="24">
        <f>N10*Drivers!$B$12</f>
        <v/>
      </c>
      <c r="P9" s="24">
        <f>O10*Drivers!$B$12</f>
        <v/>
      </c>
      <c r="Q9" s="24">
        <f>P10*Drivers!$B$12</f>
        <v/>
      </c>
      <c r="R9" s="24">
        <f>Q10*Drivers!$B$12</f>
        <v/>
      </c>
      <c r="S9" s="24">
        <f>R10*Drivers!$B$12</f>
        <v/>
      </c>
      <c r="T9" s="24">
        <f>S10*Drivers!$B$12</f>
        <v/>
      </c>
      <c r="U9" s="24">
        <f>T10*Drivers!$B$12</f>
        <v/>
      </c>
      <c r="V9" s="24">
        <f>U10*Drivers!$B$12</f>
        <v/>
      </c>
      <c r="W9" s="24">
        <f>V10*Drivers!$B$12</f>
        <v/>
      </c>
      <c r="X9" s="24">
        <f>W10*Drivers!$B$12</f>
        <v/>
      </c>
      <c r="Y9" s="24">
        <f>X10*Drivers!$B$12</f>
        <v/>
      </c>
      <c r="Z9" s="24">
        <f>Y10*Drivers!$B$12</f>
        <v/>
      </c>
      <c r="AA9" s="24">
        <f>Z10*Drivers!$B$12</f>
        <v/>
      </c>
      <c r="AB9" s="24">
        <f>AA10*Drivers!$B$12</f>
        <v/>
      </c>
      <c r="AC9" s="24">
        <f>AB10*Drivers!$B$12</f>
        <v/>
      </c>
      <c r="AD9" s="24">
        <f>AC10*Drivers!$B$12</f>
        <v/>
      </c>
      <c r="AE9" s="24">
        <f>AD10*Drivers!$B$12</f>
        <v/>
      </c>
      <c r="AF9" s="24">
        <f>AE10*Drivers!$B$12</f>
        <v/>
      </c>
      <c r="AG9" s="24">
        <f>AF10*Drivers!$B$12</f>
        <v/>
      </c>
      <c r="AH9" s="24">
        <f>AG10*Drivers!$B$12</f>
        <v/>
      </c>
      <c r="AI9" s="24">
        <f>AH10*Drivers!$B$12</f>
        <v/>
      </c>
      <c r="AJ9" s="24">
        <f>AI10*Drivers!$B$12</f>
        <v/>
      </c>
      <c r="AK9" s="24">
        <f>AJ10*Drivers!$B$12</f>
        <v/>
      </c>
    </row>
    <row r="10">
      <c r="A10" s="12" t="inlineStr">
        <is>
          <t xml:space="preserve">  Ending subscribers</t>
        </is>
      </c>
      <c r="B10" s="24">
        <f>B8</f>
        <v/>
      </c>
      <c r="C10" s="24">
        <f>B10-C9+C8</f>
        <v/>
      </c>
      <c r="D10" s="24">
        <f>C10-D9+D8</f>
        <v/>
      </c>
      <c r="E10" s="24">
        <f>D10-E9+E8</f>
        <v/>
      </c>
      <c r="F10" s="24">
        <f>E10-F9+F8</f>
        <v/>
      </c>
      <c r="G10" s="24">
        <f>F10-G9+G8</f>
        <v/>
      </c>
      <c r="H10" s="24">
        <f>G10-H9+H8</f>
        <v/>
      </c>
      <c r="I10" s="24">
        <f>H10-I9+I8</f>
        <v/>
      </c>
      <c r="J10" s="24">
        <f>I10-J9+J8</f>
        <v/>
      </c>
      <c r="K10" s="24">
        <f>J10-K9+K8</f>
        <v/>
      </c>
      <c r="L10" s="24">
        <f>K10-L9+L8</f>
        <v/>
      </c>
      <c r="M10" s="24">
        <f>L10-M9+M8</f>
        <v/>
      </c>
      <c r="N10" s="24">
        <f>M10-N9+N8</f>
        <v/>
      </c>
      <c r="O10" s="24">
        <f>N10-O9+O8</f>
        <v/>
      </c>
      <c r="P10" s="24">
        <f>O10-P9+P8</f>
        <v/>
      </c>
      <c r="Q10" s="24">
        <f>P10-Q9+Q8</f>
        <v/>
      </c>
      <c r="R10" s="24">
        <f>Q10-R9+R8</f>
        <v/>
      </c>
      <c r="S10" s="24">
        <f>R10-S9+S8</f>
        <v/>
      </c>
      <c r="T10" s="24">
        <f>S10-T9+T8</f>
        <v/>
      </c>
      <c r="U10" s="24">
        <f>T10-U9+U8</f>
        <v/>
      </c>
      <c r="V10" s="24">
        <f>U10-V9+V8</f>
        <v/>
      </c>
      <c r="W10" s="24">
        <f>V10-W9+W8</f>
        <v/>
      </c>
      <c r="X10" s="24">
        <f>W10-X9+X8</f>
        <v/>
      </c>
      <c r="Y10" s="24">
        <f>X10-Y9+Y8</f>
        <v/>
      </c>
      <c r="Z10" s="24">
        <f>Y10-Z9+Z8</f>
        <v/>
      </c>
      <c r="AA10" s="24">
        <f>Z10-AA9+AA8</f>
        <v/>
      </c>
      <c r="AB10" s="24">
        <f>AA10-AB9+AB8</f>
        <v/>
      </c>
      <c r="AC10" s="24">
        <f>AB10-AC9+AC8</f>
        <v/>
      </c>
      <c r="AD10" s="24">
        <f>AC10-AD9+AD8</f>
        <v/>
      </c>
      <c r="AE10" s="24">
        <f>AD10-AE9+AE8</f>
        <v/>
      </c>
      <c r="AF10" s="24">
        <f>AE10-AF9+AF8</f>
        <v/>
      </c>
      <c r="AG10" s="24">
        <f>AF10-AG9+AG8</f>
        <v/>
      </c>
      <c r="AH10" s="24">
        <f>AG10-AH9+AH8</f>
        <v/>
      </c>
      <c r="AI10" s="24">
        <f>AH10-AI9+AI8</f>
        <v/>
      </c>
      <c r="AJ10" s="24">
        <f>AI10-AJ9+AJ8</f>
        <v/>
      </c>
      <c r="AK10" s="24">
        <f>AJ10-AK9+AK8</f>
        <v/>
      </c>
    </row>
    <row r="11">
      <c r="A11" t="inlineStr">
        <is>
          <t xml:space="preserve">  MRR</t>
        </is>
      </c>
      <c r="B11" s="24">
        <f>B10*Drivers!$B$14</f>
        <v/>
      </c>
      <c r="C11" s="24">
        <f>C10*Drivers!$B$14</f>
        <v/>
      </c>
      <c r="D11" s="24">
        <f>D10*Drivers!$B$14</f>
        <v/>
      </c>
      <c r="E11" s="24">
        <f>E10*Drivers!$B$14</f>
        <v/>
      </c>
      <c r="F11" s="24">
        <f>F10*Drivers!$B$14</f>
        <v/>
      </c>
      <c r="G11" s="24">
        <f>G10*Drivers!$B$14</f>
        <v/>
      </c>
      <c r="H11" s="24">
        <f>H10*Drivers!$B$14</f>
        <v/>
      </c>
      <c r="I11" s="24">
        <f>I10*Drivers!$B$14</f>
        <v/>
      </c>
      <c r="J11" s="24">
        <f>J10*Drivers!$B$14</f>
        <v/>
      </c>
      <c r="K11" s="24">
        <f>K10*Drivers!$B$14</f>
        <v/>
      </c>
      <c r="L11" s="24">
        <f>L10*Drivers!$B$14</f>
        <v/>
      </c>
      <c r="M11" s="24">
        <f>M10*Drivers!$B$14</f>
        <v/>
      </c>
      <c r="N11" s="24">
        <f>N10*Drivers!$B$14</f>
        <v/>
      </c>
      <c r="O11" s="24">
        <f>O10*Drivers!$B$14</f>
        <v/>
      </c>
      <c r="P11" s="24">
        <f>P10*Drivers!$B$14</f>
        <v/>
      </c>
      <c r="Q11" s="24">
        <f>Q10*Drivers!$B$14</f>
        <v/>
      </c>
      <c r="R11" s="24">
        <f>R10*Drivers!$B$14</f>
        <v/>
      </c>
      <c r="S11" s="24">
        <f>S10*Drivers!$B$14</f>
        <v/>
      </c>
      <c r="T11" s="24">
        <f>T10*Drivers!$B$14</f>
        <v/>
      </c>
      <c r="U11" s="24">
        <f>U10*Drivers!$B$14</f>
        <v/>
      </c>
      <c r="V11" s="24">
        <f>V10*Drivers!$B$14</f>
        <v/>
      </c>
      <c r="W11" s="24">
        <f>W10*Drivers!$B$14</f>
        <v/>
      </c>
      <c r="X11" s="24">
        <f>X10*Drivers!$B$14</f>
        <v/>
      </c>
      <c r="Y11" s="24">
        <f>Y10*Drivers!$B$14</f>
        <v/>
      </c>
      <c r="Z11" s="24">
        <f>Z10*Drivers!$B$14</f>
        <v/>
      </c>
      <c r="AA11" s="24">
        <f>AA10*Drivers!$B$14</f>
        <v/>
      </c>
      <c r="AB11" s="24">
        <f>AB10*Drivers!$B$14</f>
        <v/>
      </c>
      <c r="AC11" s="24">
        <f>AC10*Drivers!$B$14</f>
        <v/>
      </c>
      <c r="AD11" s="24">
        <f>AD10*Drivers!$B$14</f>
        <v/>
      </c>
      <c r="AE11" s="24">
        <f>AE10*Drivers!$B$14</f>
        <v/>
      </c>
      <c r="AF11" s="24">
        <f>AF10*Drivers!$B$14</f>
        <v/>
      </c>
      <c r="AG11" s="24">
        <f>AG10*Drivers!$B$14</f>
        <v/>
      </c>
      <c r="AH11" s="24">
        <f>AH10*Drivers!$B$14</f>
        <v/>
      </c>
      <c r="AI11" s="24">
        <f>AI10*Drivers!$B$14</f>
        <v/>
      </c>
      <c r="AJ11" s="24">
        <f>AJ10*Drivers!$B$14</f>
        <v/>
      </c>
      <c r="AK11" s="24">
        <f>AK10*Drivers!$B$14</f>
        <v/>
      </c>
    </row>
    <row r="12">
      <c r="A12" s="9" t="inlineStr">
        <is>
          <t>MARKET EDGE ($9.99)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</row>
    <row r="13">
      <c r="A13" t="inlineStr">
        <is>
          <t xml:space="preserve">  Gross adds</t>
        </is>
      </c>
      <c r="B13" s="24">
        <f>B6*Drivers!$B$18</f>
        <v/>
      </c>
      <c r="C13" s="24">
        <f>C6*Drivers!$B$18</f>
        <v/>
      </c>
      <c r="D13" s="24">
        <f>D6*Drivers!$B$18</f>
        <v/>
      </c>
      <c r="E13" s="24">
        <f>E6*Drivers!$B$18</f>
        <v/>
      </c>
      <c r="F13" s="24">
        <f>F6*Drivers!$B$18</f>
        <v/>
      </c>
      <c r="G13" s="24">
        <f>G6*Drivers!$B$18</f>
        <v/>
      </c>
      <c r="H13" s="24">
        <f>H6*Drivers!$B$18</f>
        <v/>
      </c>
      <c r="I13" s="24">
        <f>I6*Drivers!$B$18</f>
        <v/>
      </c>
      <c r="J13" s="24">
        <f>J6*Drivers!$B$18</f>
        <v/>
      </c>
      <c r="K13" s="24">
        <f>K6*Drivers!$B$18</f>
        <v/>
      </c>
      <c r="L13" s="24">
        <f>L6*Drivers!$B$18</f>
        <v/>
      </c>
      <c r="M13" s="24">
        <f>M6*Drivers!$B$18</f>
        <v/>
      </c>
      <c r="N13" s="24">
        <f>N6*Drivers!$B$18</f>
        <v/>
      </c>
      <c r="O13" s="24">
        <f>O6*Drivers!$B$18</f>
        <v/>
      </c>
      <c r="P13" s="24">
        <f>P6*Drivers!$B$18</f>
        <v/>
      </c>
      <c r="Q13" s="24">
        <f>Q6*Drivers!$B$18</f>
        <v/>
      </c>
      <c r="R13" s="24">
        <f>R6*Drivers!$B$18</f>
        <v/>
      </c>
      <c r="S13" s="24">
        <f>S6*Drivers!$B$18</f>
        <v/>
      </c>
      <c r="T13" s="24">
        <f>T6*Drivers!$B$18</f>
        <v/>
      </c>
      <c r="U13" s="24">
        <f>U6*Drivers!$B$18</f>
        <v/>
      </c>
      <c r="V13" s="24">
        <f>V6*Drivers!$B$18</f>
        <v/>
      </c>
      <c r="W13" s="24">
        <f>W6*Drivers!$B$18</f>
        <v/>
      </c>
      <c r="X13" s="24">
        <f>X6*Drivers!$B$18</f>
        <v/>
      </c>
      <c r="Y13" s="24">
        <f>Y6*Drivers!$B$18</f>
        <v/>
      </c>
      <c r="Z13" s="24">
        <f>Z6*Drivers!$B$18</f>
        <v/>
      </c>
      <c r="AA13" s="24">
        <f>AA6*Drivers!$B$18</f>
        <v/>
      </c>
      <c r="AB13" s="24">
        <f>AB6*Drivers!$B$18</f>
        <v/>
      </c>
      <c r="AC13" s="24">
        <f>AC6*Drivers!$B$18</f>
        <v/>
      </c>
      <c r="AD13" s="24">
        <f>AD6*Drivers!$B$18</f>
        <v/>
      </c>
      <c r="AE13" s="24">
        <f>AE6*Drivers!$B$18</f>
        <v/>
      </c>
      <c r="AF13" s="24">
        <f>AF6*Drivers!$B$18</f>
        <v/>
      </c>
      <c r="AG13" s="24">
        <f>AG6*Drivers!$B$18</f>
        <v/>
      </c>
      <c r="AH13" s="24">
        <f>AH6*Drivers!$B$18</f>
        <v/>
      </c>
      <c r="AI13" s="24">
        <f>AI6*Drivers!$B$18</f>
        <v/>
      </c>
      <c r="AJ13" s="24">
        <f>AJ6*Drivers!$B$18</f>
        <v/>
      </c>
      <c r="AK13" s="24">
        <f>AK6*Drivers!$B$18</f>
        <v/>
      </c>
    </row>
    <row r="14">
      <c r="A14" t="inlineStr">
        <is>
          <t xml:space="preserve">  Churned</t>
        </is>
      </c>
      <c r="B14" s="24" t="n">
        <v>0</v>
      </c>
      <c r="C14" s="24">
        <f>B15*Drivers!$B$12</f>
        <v/>
      </c>
      <c r="D14" s="24">
        <f>C15*Drivers!$B$12</f>
        <v/>
      </c>
      <c r="E14" s="24">
        <f>D15*Drivers!$B$12</f>
        <v/>
      </c>
      <c r="F14" s="24">
        <f>E15*Drivers!$B$12</f>
        <v/>
      </c>
      <c r="G14" s="24">
        <f>F15*Drivers!$B$12</f>
        <v/>
      </c>
      <c r="H14" s="24">
        <f>G15*Drivers!$B$12</f>
        <v/>
      </c>
      <c r="I14" s="24">
        <f>H15*Drivers!$B$12</f>
        <v/>
      </c>
      <c r="J14" s="24">
        <f>I15*Drivers!$B$12</f>
        <v/>
      </c>
      <c r="K14" s="24">
        <f>J15*Drivers!$B$12</f>
        <v/>
      </c>
      <c r="L14" s="24">
        <f>K15*Drivers!$B$12</f>
        <v/>
      </c>
      <c r="M14" s="24">
        <f>L15*Drivers!$B$12</f>
        <v/>
      </c>
      <c r="N14" s="24">
        <f>M15*Drivers!$B$12</f>
        <v/>
      </c>
      <c r="O14" s="24">
        <f>N15*Drivers!$B$12</f>
        <v/>
      </c>
      <c r="P14" s="24">
        <f>O15*Drivers!$B$12</f>
        <v/>
      </c>
      <c r="Q14" s="24">
        <f>P15*Drivers!$B$12</f>
        <v/>
      </c>
      <c r="R14" s="24">
        <f>Q15*Drivers!$B$12</f>
        <v/>
      </c>
      <c r="S14" s="24">
        <f>R15*Drivers!$B$12</f>
        <v/>
      </c>
      <c r="T14" s="24">
        <f>S15*Drivers!$B$12</f>
        <v/>
      </c>
      <c r="U14" s="24">
        <f>T15*Drivers!$B$12</f>
        <v/>
      </c>
      <c r="V14" s="24">
        <f>U15*Drivers!$B$12</f>
        <v/>
      </c>
      <c r="W14" s="24">
        <f>V15*Drivers!$B$12</f>
        <v/>
      </c>
      <c r="X14" s="24">
        <f>W15*Drivers!$B$12</f>
        <v/>
      </c>
      <c r="Y14" s="24">
        <f>X15*Drivers!$B$12</f>
        <v/>
      </c>
      <c r="Z14" s="24">
        <f>Y15*Drivers!$B$12</f>
        <v/>
      </c>
      <c r="AA14" s="24">
        <f>Z15*Drivers!$B$12</f>
        <v/>
      </c>
      <c r="AB14" s="24">
        <f>AA15*Drivers!$B$12</f>
        <v/>
      </c>
      <c r="AC14" s="24">
        <f>AB15*Drivers!$B$12</f>
        <v/>
      </c>
      <c r="AD14" s="24">
        <f>AC15*Drivers!$B$12</f>
        <v/>
      </c>
      <c r="AE14" s="24">
        <f>AD15*Drivers!$B$12</f>
        <v/>
      </c>
      <c r="AF14" s="24">
        <f>AE15*Drivers!$B$12</f>
        <v/>
      </c>
      <c r="AG14" s="24">
        <f>AF15*Drivers!$B$12</f>
        <v/>
      </c>
      <c r="AH14" s="24">
        <f>AG15*Drivers!$B$12</f>
        <v/>
      </c>
      <c r="AI14" s="24">
        <f>AH15*Drivers!$B$12</f>
        <v/>
      </c>
      <c r="AJ14" s="24">
        <f>AI15*Drivers!$B$12</f>
        <v/>
      </c>
      <c r="AK14" s="24">
        <f>AJ15*Drivers!$B$12</f>
        <v/>
      </c>
    </row>
    <row r="15">
      <c r="A15" s="12" t="inlineStr">
        <is>
          <t xml:space="preserve">  Ending subscribers</t>
        </is>
      </c>
      <c r="B15" s="24">
        <f>B13</f>
        <v/>
      </c>
      <c r="C15" s="24">
        <f>B15-C14+C13</f>
        <v/>
      </c>
      <c r="D15" s="24">
        <f>C15-D14+D13</f>
        <v/>
      </c>
      <c r="E15" s="24">
        <f>D15-E14+E13</f>
        <v/>
      </c>
      <c r="F15" s="24">
        <f>E15-F14+F13</f>
        <v/>
      </c>
      <c r="G15" s="24">
        <f>F15-G14+G13</f>
        <v/>
      </c>
      <c r="H15" s="24">
        <f>G15-H14+H13</f>
        <v/>
      </c>
      <c r="I15" s="24">
        <f>H15-I14+I13</f>
        <v/>
      </c>
      <c r="J15" s="24">
        <f>I15-J14+J13</f>
        <v/>
      </c>
      <c r="K15" s="24">
        <f>J15-K14+K13</f>
        <v/>
      </c>
      <c r="L15" s="24">
        <f>K15-L14+L13</f>
        <v/>
      </c>
      <c r="M15" s="24">
        <f>L15-M14+M13</f>
        <v/>
      </c>
      <c r="N15" s="24">
        <f>M15-N14+N13</f>
        <v/>
      </c>
      <c r="O15" s="24">
        <f>N15-O14+O13</f>
        <v/>
      </c>
      <c r="P15" s="24">
        <f>O15-P14+P13</f>
        <v/>
      </c>
      <c r="Q15" s="24">
        <f>P15-Q14+Q13</f>
        <v/>
      </c>
      <c r="R15" s="24">
        <f>Q15-R14+R13</f>
        <v/>
      </c>
      <c r="S15" s="24">
        <f>R15-S14+S13</f>
        <v/>
      </c>
      <c r="T15" s="24">
        <f>S15-T14+T13</f>
        <v/>
      </c>
      <c r="U15" s="24">
        <f>T15-U14+U13</f>
        <v/>
      </c>
      <c r="V15" s="24">
        <f>U15-V14+V13</f>
        <v/>
      </c>
      <c r="W15" s="24">
        <f>V15-W14+W13</f>
        <v/>
      </c>
      <c r="X15" s="24">
        <f>W15-X14+X13</f>
        <v/>
      </c>
      <c r="Y15" s="24">
        <f>X15-Y14+Y13</f>
        <v/>
      </c>
      <c r="Z15" s="24">
        <f>Y15-Z14+Z13</f>
        <v/>
      </c>
      <c r="AA15" s="24">
        <f>Z15-AA14+AA13</f>
        <v/>
      </c>
      <c r="AB15" s="24">
        <f>AA15-AB14+AB13</f>
        <v/>
      </c>
      <c r="AC15" s="24">
        <f>AB15-AC14+AC13</f>
        <v/>
      </c>
      <c r="AD15" s="24">
        <f>AC15-AD14+AD13</f>
        <v/>
      </c>
      <c r="AE15" s="24">
        <f>AD15-AE14+AE13</f>
        <v/>
      </c>
      <c r="AF15" s="24">
        <f>AE15-AF14+AF13</f>
        <v/>
      </c>
      <c r="AG15" s="24">
        <f>AF15-AG14+AG13</f>
        <v/>
      </c>
      <c r="AH15" s="24">
        <f>AG15-AH14+AH13</f>
        <v/>
      </c>
      <c r="AI15" s="24">
        <f>AH15-AI14+AI13</f>
        <v/>
      </c>
      <c r="AJ15" s="24">
        <f>AI15-AJ14+AJ13</f>
        <v/>
      </c>
      <c r="AK15" s="24">
        <f>AJ15-AK14+AK13</f>
        <v/>
      </c>
    </row>
    <row r="16">
      <c r="A16" t="inlineStr">
        <is>
          <t xml:space="preserve">  MRR</t>
        </is>
      </c>
      <c r="B16" s="24">
        <f>B15*Drivers!$B$15</f>
        <v/>
      </c>
      <c r="C16" s="24">
        <f>C15*Drivers!$B$15</f>
        <v/>
      </c>
      <c r="D16" s="24">
        <f>D15*Drivers!$B$15</f>
        <v/>
      </c>
      <c r="E16" s="24">
        <f>E15*Drivers!$B$15</f>
        <v/>
      </c>
      <c r="F16" s="24">
        <f>F15*Drivers!$B$15</f>
        <v/>
      </c>
      <c r="G16" s="24">
        <f>G15*Drivers!$B$15</f>
        <v/>
      </c>
      <c r="H16" s="24">
        <f>H15*Drivers!$B$15</f>
        <v/>
      </c>
      <c r="I16" s="24">
        <f>I15*Drivers!$B$15</f>
        <v/>
      </c>
      <c r="J16" s="24">
        <f>J15*Drivers!$B$15</f>
        <v/>
      </c>
      <c r="K16" s="24">
        <f>K15*Drivers!$B$15</f>
        <v/>
      </c>
      <c r="L16" s="24">
        <f>L15*Drivers!$B$15</f>
        <v/>
      </c>
      <c r="M16" s="24">
        <f>M15*Drivers!$B$15</f>
        <v/>
      </c>
      <c r="N16" s="24">
        <f>N15*Drivers!$B$15</f>
        <v/>
      </c>
      <c r="O16" s="24">
        <f>O15*Drivers!$B$15</f>
        <v/>
      </c>
      <c r="P16" s="24">
        <f>P15*Drivers!$B$15</f>
        <v/>
      </c>
      <c r="Q16" s="24">
        <f>Q15*Drivers!$B$15</f>
        <v/>
      </c>
      <c r="R16" s="24">
        <f>R15*Drivers!$B$15</f>
        <v/>
      </c>
      <c r="S16" s="24">
        <f>S15*Drivers!$B$15</f>
        <v/>
      </c>
      <c r="T16" s="24">
        <f>T15*Drivers!$B$15</f>
        <v/>
      </c>
      <c r="U16" s="24">
        <f>U15*Drivers!$B$15</f>
        <v/>
      </c>
      <c r="V16" s="24">
        <f>V15*Drivers!$B$15</f>
        <v/>
      </c>
      <c r="W16" s="24">
        <f>W15*Drivers!$B$15</f>
        <v/>
      </c>
      <c r="X16" s="24">
        <f>X15*Drivers!$B$15</f>
        <v/>
      </c>
      <c r="Y16" s="24">
        <f>Y15*Drivers!$B$15</f>
        <v/>
      </c>
      <c r="Z16" s="24">
        <f>Z15*Drivers!$B$15</f>
        <v/>
      </c>
      <c r="AA16" s="24">
        <f>AA15*Drivers!$B$15</f>
        <v/>
      </c>
      <c r="AB16" s="24">
        <f>AB15*Drivers!$B$15</f>
        <v/>
      </c>
      <c r="AC16" s="24">
        <f>AC15*Drivers!$B$15</f>
        <v/>
      </c>
      <c r="AD16" s="24">
        <f>AD15*Drivers!$B$15</f>
        <v/>
      </c>
      <c r="AE16" s="24">
        <f>AE15*Drivers!$B$15</f>
        <v/>
      </c>
      <c r="AF16" s="24">
        <f>AF15*Drivers!$B$15</f>
        <v/>
      </c>
      <c r="AG16" s="24">
        <f>AG15*Drivers!$B$15</f>
        <v/>
      </c>
      <c r="AH16" s="24">
        <f>AH15*Drivers!$B$15</f>
        <v/>
      </c>
      <c r="AI16" s="24">
        <f>AI15*Drivers!$B$15</f>
        <v/>
      </c>
      <c r="AJ16" s="24">
        <f>AJ15*Drivers!$B$15</f>
        <v/>
      </c>
      <c r="AK16" s="24">
        <f>AK15*Drivers!$B$15</f>
        <v/>
      </c>
    </row>
    <row r="17">
      <c r="A17" s="9" t="inlineStr">
        <is>
          <t>MIDTERM ($14.99)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</row>
    <row r="18">
      <c r="A18" t="inlineStr">
        <is>
          <t xml:space="preserve">  Gross adds</t>
        </is>
      </c>
      <c r="B18" s="24">
        <f>B6*Drivers!$B$19</f>
        <v/>
      </c>
      <c r="C18" s="24">
        <f>C6*Drivers!$B$19</f>
        <v/>
      </c>
      <c r="D18" s="24">
        <f>D6*Drivers!$B$19</f>
        <v/>
      </c>
      <c r="E18" s="24">
        <f>E6*Drivers!$B$19</f>
        <v/>
      </c>
      <c r="F18" s="24">
        <f>F6*Drivers!$B$19</f>
        <v/>
      </c>
      <c r="G18" s="24">
        <f>G6*Drivers!$B$19</f>
        <v/>
      </c>
      <c r="H18" s="24">
        <f>H6*Drivers!$B$19</f>
        <v/>
      </c>
      <c r="I18" s="24">
        <f>I6*Drivers!$B$19</f>
        <v/>
      </c>
      <c r="J18" s="24">
        <f>J6*Drivers!$B$19</f>
        <v/>
      </c>
      <c r="K18" s="24">
        <f>K6*Drivers!$B$19</f>
        <v/>
      </c>
      <c r="L18" s="24">
        <f>L6*Drivers!$B$19</f>
        <v/>
      </c>
      <c r="M18" s="24">
        <f>M6*Drivers!$B$19</f>
        <v/>
      </c>
      <c r="N18" s="24">
        <f>N6*Drivers!$B$19</f>
        <v/>
      </c>
      <c r="O18" s="24">
        <f>O6*Drivers!$B$19</f>
        <v/>
      </c>
      <c r="P18" s="24">
        <f>P6*Drivers!$B$19</f>
        <v/>
      </c>
      <c r="Q18" s="24">
        <f>Q6*Drivers!$B$19</f>
        <v/>
      </c>
      <c r="R18" s="24">
        <f>R6*Drivers!$B$19</f>
        <v/>
      </c>
      <c r="S18" s="24">
        <f>S6*Drivers!$B$19</f>
        <v/>
      </c>
      <c r="T18" s="24">
        <f>T6*Drivers!$B$19</f>
        <v/>
      </c>
      <c r="U18" s="24">
        <f>U6*Drivers!$B$19</f>
        <v/>
      </c>
      <c r="V18" s="24">
        <f>V6*Drivers!$B$19</f>
        <v/>
      </c>
      <c r="W18" s="24">
        <f>W6*Drivers!$B$19</f>
        <v/>
      </c>
      <c r="X18" s="24">
        <f>X6*Drivers!$B$19</f>
        <v/>
      </c>
      <c r="Y18" s="24">
        <f>Y6*Drivers!$B$19</f>
        <v/>
      </c>
      <c r="Z18" s="24">
        <f>Z6*Drivers!$B$19</f>
        <v/>
      </c>
      <c r="AA18" s="24">
        <f>AA6*Drivers!$B$19</f>
        <v/>
      </c>
      <c r="AB18" s="24">
        <f>AB6*Drivers!$B$19</f>
        <v/>
      </c>
      <c r="AC18" s="24">
        <f>AC6*Drivers!$B$19</f>
        <v/>
      </c>
      <c r="AD18" s="24">
        <f>AD6*Drivers!$B$19</f>
        <v/>
      </c>
      <c r="AE18" s="24">
        <f>AE6*Drivers!$B$19</f>
        <v/>
      </c>
      <c r="AF18" s="24">
        <f>AF6*Drivers!$B$19</f>
        <v/>
      </c>
      <c r="AG18" s="24">
        <f>AG6*Drivers!$B$19</f>
        <v/>
      </c>
      <c r="AH18" s="24">
        <f>AH6*Drivers!$B$19</f>
        <v/>
      </c>
      <c r="AI18" s="24">
        <f>AI6*Drivers!$B$19</f>
        <v/>
      </c>
      <c r="AJ18" s="24">
        <f>AJ6*Drivers!$B$19</f>
        <v/>
      </c>
      <c r="AK18" s="24">
        <f>AK6*Drivers!$B$19</f>
        <v/>
      </c>
    </row>
    <row r="19">
      <c r="A19" t="inlineStr">
        <is>
          <t xml:space="preserve">  Churned</t>
        </is>
      </c>
      <c r="B19" s="24" t="n">
        <v>0</v>
      </c>
      <c r="C19" s="24">
        <f>B20*Drivers!$B$12</f>
        <v/>
      </c>
      <c r="D19" s="24">
        <f>C20*Drivers!$B$12</f>
        <v/>
      </c>
      <c r="E19" s="24">
        <f>D20*Drivers!$B$12</f>
        <v/>
      </c>
      <c r="F19" s="24">
        <f>E20*Drivers!$B$12</f>
        <v/>
      </c>
      <c r="G19" s="24">
        <f>F20*Drivers!$B$12</f>
        <v/>
      </c>
      <c r="H19" s="24">
        <f>G20*Drivers!$B$12</f>
        <v/>
      </c>
      <c r="I19" s="24">
        <f>H20*Drivers!$B$12</f>
        <v/>
      </c>
      <c r="J19" s="24">
        <f>I20*Drivers!$B$12</f>
        <v/>
      </c>
      <c r="K19" s="24">
        <f>J20*Drivers!$B$12</f>
        <v/>
      </c>
      <c r="L19" s="24">
        <f>K20*Drivers!$B$12</f>
        <v/>
      </c>
      <c r="M19" s="24">
        <f>L20*Drivers!$B$12</f>
        <v/>
      </c>
      <c r="N19" s="24">
        <f>M20*Drivers!$B$12</f>
        <v/>
      </c>
      <c r="O19" s="24">
        <f>N20*Drivers!$B$12</f>
        <v/>
      </c>
      <c r="P19" s="24">
        <f>O20*Drivers!$B$12</f>
        <v/>
      </c>
      <c r="Q19" s="24">
        <f>P20*Drivers!$B$12</f>
        <v/>
      </c>
      <c r="R19" s="24">
        <f>Q20*Drivers!$B$12</f>
        <v/>
      </c>
      <c r="S19" s="24">
        <f>R20*Drivers!$B$12</f>
        <v/>
      </c>
      <c r="T19" s="24">
        <f>S20*Drivers!$B$12</f>
        <v/>
      </c>
      <c r="U19" s="24">
        <f>T20*Drivers!$B$12</f>
        <v/>
      </c>
      <c r="V19" s="24">
        <f>U20*Drivers!$B$12</f>
        <v/>
      </c>
      <c r="W19" s="24">
        <f>V20*Drivers!$B$12</f>
        <v/>
      </c>
      <c r="X19" s="24">
        <f>W20*Drivers!$B$12</f>
        <v/>
      </c>
      <c r="Y19" s="24">
        <f>X20*Drivers!$B$12</f>
        <v/>
      </c>
      <c r="Z19" s="24">
        <f>Y20*Drivers!$B$12</f>
        <v/>
      </c>
      <c r="AA19" s="24">
        <f>Z20*Drivers!$B$12</f>
        <v/>
      </c>
      <c r="AB19" s="24">
        <f>AA20*Drivers!$B$12</f>
        <v/>
      </c>
      <c r="AC19" s="24">
        <f>AB20*Drivers!$B$12</f>
        <v/>
      </c>
      <c r="AD19" s="24">
        <f>AC20*Drivers!$B$12</f>
        <v/>
      </c>
      <c r="AE19" s="24">
        <f>AD20*Drivers!$B$12</f>
        <v/>
      </c>
      <c r="AF19" s="24">
        <f>AE20*Drivers!$B$12</f>
        <v/>
      </c>
      <c r="AG19" s="24">
        <f>AF20*Drivers!$B$12</f>
        <v/>
      </c>
      <c r="AH19" s="24">
        <f>AG20*Drivers!$B$12</f>
        <v/>
      </c>
      <c r="AI19" s="24">
        <f>AH20*Drivers!$B$12</f>
        <v/>
      </c>
      <c r="AJ19" s="24">
        <f>AI20*Drivers!$B$12</f>
        <v/>
      </c>
      <c r="AK19" s="24">
        <f>AJ20*Drivers!$B$12</f>
        <v/>
      </c>
    </row>
    <row r="20">
      <c r="A20" s="12" t="inlineStr">
        <is>
          <t xml:space="preserve">  Ending subscribers</t>
        </is>
      </c>
      <c r="B20" s="24">
        <f>B18</f>
        <v/>
      </c>
      <c r="C20" s="24">
        <f>B20-C19+C18</f>
        <v/>
      </c>
      <c r="D20" s="24">
        <f>C20-D19+D18</f>
        <v/>
      </c>
      <c r="E20" s="24">
        <f>D20-E19+E18</f>
        <v/>
      </c>
      <c r="F20" s="24">
        <f>E20-F19+F18</f>
        <v/>
      </c>
      <c r="G20" s="24">
        <f>F20-G19+G18</f>
        <v/>
      </c>
      <c r="H20" s="24">
        <f>G20-H19+H18</f>
        <v/>
      </c>
      <c r="I20" s="24">
        <f>H20-I19+I18</f>
        <v/>
      </c>
      <c r="J20" s="24">
        <f>I20-J19+J18</f>
        <v/>
      </c>
      <c r="K20" s="24">
        <f>J20-K19+K18</f>
        <v/>
      </c>
      <c r="L20" s="24">
        <f>K20-L19+L18</f>
        <v/>
      </c>
      <c r="M20" s="24">
        <f>L20-M19+M18</f>
        <v/>
      </c>
      <c r="N20" s="24">
        <f>M20-N19+N18</f>
        <v/>
      </c>
      <c r="O20" s="24">
        <f>N20-O19+O18</f>
        <v/>
      </c>
      <c r="P20" s="24">
        <f>O20-P19+P18</f>
        <v/>
      </c>
      <c r="Q20" s="24">
        <f>P20-Q19+Q18</f>
        <v/>
      </c>
      <c r="R20" s="24">
        <f>Q20-R19+R18</f>
        <v/>
      </c>
      <c r="S20" s="24">
        <f>R20-S19+S18</f>
        <v/>
      </c>
      <c r="T20" s="24">
        <f>S20-T19+T18</f>
        <v/>
      </c>
      <c r="U20" s="24">
        <f>T20-U19+U18</f>
        <v/>
      </c>
      <c r="V20" s="24">
        <f>U20-V19+V18</f>
        <v/>
      </c>
      <c r="W20" s="24">
        <f>V20-W19+W18</f>
        <v/>
      </c>
      <c r="X20" s="24">
        <f>W20-X19+X18</f>
        <v/>
      </c>
      <c r="Y20" s="24">
        <f>X20-Y19+Y18</f>
        <v/>
      </c>
      <c r="Z20" s="24">
        <f>Y20-Z19+Z18</f>
        <v/>
      </c>
      <c r="AA20" s="24">
        <f>Z20-AA19+AA18</f>
        <v/>
      </c>
      <c r="AB20" s="24">
        <f>AA20-AB19+AB18</f>
        <v/>
      </c>
      <c r="AC20" s="24">
        <f>AB20-AC19+AC18</f>
        <v/>
      </c>
      <c r="AD20" s="24">
        <f>AC20-AD19+AD18</f>
        <v/>
      </c>
      <c r="AE20" s="24">
        <f>AD20-AE19+AE18</f>
        <v/>
      </c>
      <c r="AF20" s="24">
        <f>AE20-AF19+AF18</f>
        <v/>
      </c>
      <c r="AG20" s="24">
        <f>AF20-AG19+AG18</f>
        <v/>
      </c>
      <c r="AH20" s="24">
        <f>AG20-AH19+AH18</f>
        <v/>
      </c>
      <c r="AI20" s="24">
        <f>AH20-AI19+AI18</f>
        <v/>
      </c>
      <c r="AJ20" s="24">
        <f>AI20-AJ19+AJ18</f>
        <v/>
      </c>
      <c r="AK20" s="24">
        <f>AJ20-AK19+AK18</f>
        <v/>
      </c>
    </row>
    <row r="21">
      <c r="A21" t="inlineStr">
        <is>
          <t xml:space="preserve">  MRR</t>
        </is>
      </c>
      <c r="B21" s="24">
        <f>B20*Drivers!$B$16</f>
        <v/>
      </c>
      <c r="C21" s="24">
        <f>C20*Drivers!$B$16</f>
        <v/>
      </c>
      <c r="D21" s="24">
        <f>D20*Drivers!$B$16</f>
        <v/>
      </c>
      <c r="E21" s="24">
        <f>E20*Drivers!$B$16</f>
        <v/>
      </c>
      <c r="F21" s="24">
        <f>F20*Drivers!$B$16</f>
        <v/>
      </c>
      <c r="G21" s="24">
        <f>G20*Drivers!$B$16</f>
        <v/>
      </c>
      <c r="H21" s="24">
        <f>H20*Drivers!$B$16</f>
        <v/>
      </c>
      <c r="I21" s="24">
        <f>I20*Drivers!$B$16</f>
        <v/>
      </c>
      <c r="J21" s="24">
        <f>J20*Drivers!$B$16</f>
        <v/>
      </c>
      <c r="K21" s="24">
        <f>K20*Drivers!$B$16</f>
        <v/>
      </c>
      <c r="L21" s="24">
        <f>L20*Drivers!$B$16</f>
        <v/>
      </c>
      <c r="M21" s="24">
        <f>M20*Drivers!$B$16</f>
        <v/>
      </c>
      <c r="N21" s="24">
        <f>N20*Drivers!$B$16</f>
        <v/>
      </c>
      <c r="O21" s="24">
        <f>O20*Drivers!$B$16</f>
        <v/>
      </c>
      <c r="P21" s="24">
        <f>P20*Drivers!$B$16</f>
        <v/>
      </c>
      <c r="Q21" s="24">
        <f>Q20*Drivers!$B$16</f>
        <v/>
      </c>
      <c r="R21" s="24">
        <f>R20*Drivers!$B$16</f>
        <v/>
      </c>
      <c r="S21" s="24">
        <f>S20*Drivers!$B$16</f>
        <v/>
      </c>
      <c r="T21" s="24">
        <f>T20*Drivers!$B$16</f>
        <v/>
      </c>
      <c r="U21" s="24">
        <f>U20*Drivers!$B$16</f>
        <v/>
      </c>
      <c r="V21" s="24">
        <f>V20*Drivers!$B$16</f>
        <v/>
      </c>
      <c r="W21" s="24">
        <f>W20*Drivers!$B$16</f>
        <v/>
      </c>
      <c r="X21" s="24">
        <f>X20*Drivers!$B$16</f>
        <v/>
      </c>
      <c r="Y21" s="24">
        <f>Y20*Drivers!$B$16</f>
        <v/>
      </c>
      <c r="Z21" s="24">
        <f>Z20*Drivers!$B$16</f>
        <v/>
      </c>
      <c r="AA21" s="24">
        <f>AA20*Drivers!$B$16</f>
        <v/>
      </c>
      <c r="AB21" s="24">
        <f>AB20*Drivers!$B$16</f>
        <v/>
      </c>
      <c r="AC21" s="24">
        <f>AC20*Drivers!$B$16</f>
        <v/>
      </c>
      <c r="AD21" s="24">
        <f>AD20*Drivers!$B$16</f>
        <v/>
      </c>
      <c r="AE21" s="24">
        <f>AE20*Drivers!$B$16</f>
        <v/>
      </c>
      <c r="AF21" s="24">
        <f>AF20*Drivers!$B$16</f>
        <v/>
      </c>
      <c r="AG21" s="24">
        <f>AG20*Drivers!$B$16</f>
        <v/>
      </c>
      <c r="AH21" s="24">
        <f>AH20*Drivers!$B$16</f>
        <v/>
      </c>
      <c r="AI21" s="24">
        <f>AI20*Drivers!$B$16</f>
        <v/>
      </c>
      <c r="AJ21" s="24">
        <f>AJ20*Drivers!$B$16</f>
        <v/>
      </c>
      <c r="AK21" s="24">
        <f>AK20*Drivers!$B$16</f>
        <v/>
      </c>
    </row>
    <row r="22">
      <c r="A22" s="9" t="inlineStr">
        <is>
          <t>TOTAL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</row>
    <row r="23">
      <c r="A23" s="25" t="inlineStr">
        <is>
          <t>Total subscribers</t>
        </is>
      </c>
      <c r="B23" s="26">
        <f>B10+B15+B20</f>
        <v/>
      </c>
      <c r="C23" s="26">
        <f>C10+C15+C20</f>
        <v/>
      </c>
      <c r="D23" s="26">
        <f>D10+D15+D20</f>
        <v/>
      </c>
      <c r="E23" s="26">
        <f>E10+E15+E20</f>
        <v/>
      </c>
      <c r="F23" s="26">
        <f>F10+F15+F20</f>
        <v/>
      </c>
      <c r="G23" s="26">
        <f>G10+G15+G20</f>
        <v/>
      </c>
      <c r="H23" s="26">
        <f>H10+H15+H20</f>
        <v/>
      </c>
      <c r="I23" s="26">
        <f>I10+I15+I20</f>
        <v/>
      </c>
      <c r="J23" s="26">
        <f>J10+J15+J20</f>
        <v/>
      </c>
      <c r="K23" s="26">
        <f>K10+K15+K20</f>
        <v/>
      </c>
      <c r="L23" s="26">
        <f>L10+L15+L20</f>
        <v/>
      </c>
      <c r="M23" s="26">
        <f>M10+M15+M20</f>
        <v/>
      </c>
      <c r="N23" s="26">
        <f>N10+N15+N20</f>
        <v/>
      </c>
      <c r="O23" s="26">
        <f>O10+O15+O20</f>
        <v/>
      </c>
      <c r="P23" s="26">
        <f>P10+P15+P20</f>
        <v/>
      </c>
      <c r="Q23" s="26">
        <f>Q10+Q15+Q20</f>
        <v/>
      </c>
      <c r="R23" s="26">
        <f>R10+R15+R20</f>
        <v/>
      </c>
      <c r="S23" s="26">
        <f>S10+S15+S20</f>
        <v/>
      </c>
      <c r="T23" s="26">
        <f>T10+T15+T20</f>
        <v/>
      </c>
      <c r="U23" s="26">
        <f>U10+U15+U20</f>
        <v/>
      </c>
      <c r="V23" s="26">
        <f>V10+V15+V20</f>
        <v/>
      </c>
      <c r="W23" s="26">
        <f>W10+W15+W20</f>
        <v/>
      </c>
      <c r="X23" s="26">
        <f>X10+X15+X20</f>
        <v/>
      </c>
      <c r="Y23" s="26">
        <f>Y10+Y15+Y20</f>
        <v/>
      </c>
      <c r="Z23" s="26">
        <f>Z10+Z15+Z20</f>
        <v/>
      </c>
      <c r="AA23" s="26">
        <f>AA10+AA15+AA20</f>
        <v/>
      </c>
      <c r="AB23" s="26">
        <f>AB10+AB15+AB20</f>
        <v/>
      </c>
      <c r="AC23" s="26">
        <f>AC10+AC15+AC20</f>
        <v/>
      </c>
      <c r="AD23" s="26">
        <f>AD10+AD15+AD20</f>
        <v/>
      </c>
      <c r="AE23" s="26">
        <f>AE10+AE15+AE20</f>
        <v/>
      </c>
      <c r="AF23" s="26">
        <f>AF10+AF15+AF20</f>
        <v/>
      </c>
      <c r="AG23" s="26">
        <f>AG10+AG15+AG20</f>
        <v/>
      </c>
      <c r="AH23" s="26">
        <f>AH10+AH15+AH20</f>
        <v/>
      </c>
      <c r="AI23" s="26">
        <f>AI10+AI15+AI20</f>
        <v/>
      </c>
      <c r="AJ23" s="26">
        <f>AJ10+AJ15+AJ20</f>
        <v/>
      </c>
      <c r="AK23" s="26">
        <f>AK10+AK15+AK20</f>
        <v/>
      </c>
    </row>
    <row r="24">
      <c r="A24" s="25" t="inlineStr">
        <is>
          <t>Total MRR</t>
        </is>
      </c>
      <c r="B24" s="26">
        <f>B11+B16+B21</f>
        <v/>
      </c>
      <c r="C24" s="26">
        <f>C11+C16+C21</f>
        <v/>
      </c>
      <c r="D24" s="26">
        <f>D11+D16+D21</f>
        <v/>
      </c>
      <c r="E24" s="26">
        <f>E11+E16+E21</f>
        <v/>
      </c>
      <c r="F24" s="26">
        <f>F11+F16+F21</f>
        <v/>
      </c>
      <c r="G24" s="26">
        <f>G11+G16+G21</f>
        <v/>
      </c>
      <c r="H24" s="26">
        <f>H11+H16+H21</f>
        <v/>
      </c>
      <c r="I24" s="26">
        <f>I11+I16+I21</f>
        <v/>
      </c>
      <c r="J24" s="26">
        <f>J11+J16+J21</f>
        <v/>
      </c>
      <c r="K24" s="26">
        <f>K11+K16+K21</f>
        <v/>
      </c>
      <c r="L24" s="26">
        <f>L11+L16+L21</f>
        <v/>
      </c>
      <c r="M24" s="26">
        <f>M11+M16+M21</f>
        <v/>
      </c>
      <c r="N24" s="26">
        <f>N11+N16+N21</f>
        <v/>
      </c>
      <c r="O24" s="26">
        <f>O11+O16+O21</f>
        <v/>
      </c>
      <c r="P24" s="26">
        <f>P11+P16+P21</f>
        <v/>
      </c>
      <c r="Q24" s="26">
        <f>Q11+Q16+Q21</f>
        <v/>
      </c>
      <c r="R24" s="26">
        <f>R11+R16+R21</f>
        <v/>
      </c>
      <c r="S24" s="26">
        <f>S11+S16+S21</f>
        <v/>
      </c>
      <c r="T24" s="26">
        <f>T11+T16+T21</f>
        <v/>
      </c>
      <c r="U24" s="26">
        <f>U11+U16+U21</f>
        <v/>
      </c>
      <c r="V24" s="26">
        <f>V11+V16+V21</f>
        <v/>
      </c>
      <c r="W24" s="26">
        <f>W11+W16+W21</f>
        <v/>
      </c>
      <c r="X24" s="26">
        <f>X11+X16+X21</f>
        <v/>
      </c>
      <c r="Y24" s="26">
        <f>Y11+Y16+Y21</f>
        <v/>
      </c>
      <c r="Z24" s="26">
        <f>Z11+Z16+Z21</f>
        <v/>
      </c>
      <c r="AA24" s="26">
        <f>AA11+AA16+AA21</f>
        <v/>
      </c>
      <c r="AB24" s="26">
        <f>AB11+AB16+AB21</f>
        <v/>
      </c>
      <c r="AC24" s="26">
        <f>AC11+AC16+AC21</f>
        <v/>
      </c>
      <c r="AD24" s="26">
        <f>AD11+AD16+AD21</f>
        <v/>
      </c>
      <c r="AE24" s="26">
        <f>AE11+AE16+AE21</f>
        <v/>
      </c>
      <c r="AF24" s="26">
        <f>AF11+AF16+AF21</f>
        <v/>
      </c>
      <c r="AG24" s="26">
        <f>AG11+AG16+AG21</f>
        <v/>
      </c>
      <c r="AH24" s="26">
        <f>AH11+AH16+AH21</f>
        <v/>
      </c>
      <c r="AI24" s="26">
        <f>AI11+AI16+AI21</f>
        <v/>
      </c>
      <c r="AJ24" s="26">
        <f>AJ11+AJ16+AJ21</f>
        <v/>
      </c>
      <c r="AK24" s="26">
        <f>AK11+AK16+AK21</f>
        <v/>
      </c>
    </row>
    <row r="25">
      <c r="A25" s="12" t="inlineStr">
        <is>
          <t>ARR (MRR × 12)</t>
        </is>
      </c>
      <c r="B25" s="24">
        <f>B24*12</f>
        <v/>
      </c>
      <c r="C25" s="24">
        <f>C24*12</f>
        <v/>
      </c>
      <c r="D25" s="24">
        <f>D24*12</f>
        <v/>
      </c>
      <c r="E25" s="24">
        <f>E24*12</f>
        <v/>
      </c>
      <c r="F25" s="24">
        <f>F24*12</f>
        <v/>
      </c>
      <c r="G25" s="24">
        <f>G24*12</f>
        <v/>
      </c>
      <c r="H25" s="24">
        <f>H24*12</f>
        <v/>
      </c>
      <c r="I25" s="24">
        <f>I24*12</f>
        <v/>
      </c>
      <c r="J25" s="24">
        <f>J24*12</f>
        <v/>
      </c>
      <c r="K25" s="24">
        <f>K24*12</f>
        <v/>
      </c>
      <c r="L25" s="24">
        <f>L24*12</f>
        <v/>
      </c>
      <c r="M25" s="24">
        <f>M24*12</f>
        <v/>
      </c>
      <c r="N25" s="24">
        <f>N24*12</f>
        <v/>
      </c>
      <c r="O25" s="24">
        <f>O24*12</f>
        <v/>
      </c>
      <c r="P25" s="24">
        <f>P24*12</f>
        <v/>
      </c>
      <c r="Q25" s="24">
        <f>Q24*12</f>
        <v/>
      </c>
      <c r="R25" s="24">
        <f>R24*12</f>
        <v/>
      </c>
      <c r="S25" s="24">
        <f>S24*12</f>
        <v/>
      </c>
      <c r="T25" s="24">
        <f>T24*12</f>
        <v/>
      </c>
      <c r="U25" s="24">
        <f>U24*12</f>
        <v/>
      </c>
      <c r="V25" s="24">
        <f>V24*12</f>
        <v/>
      </c>
      <c r="W25" s="24">
        <f>W24*12</f>
        <v/>
      </c>
      <c r="X25" s="24">
        <f>X24*12</f>
        <v/>
      </c>
      <c r="Y25" s="24">
        <f>Y24*12</f>
        <v/>
      </c>
      <c r="Z25" s="24">
        <f>Z24*12</f>
        <v/>
      </c>
      <c r="AA25" s="24">
        <f>AA24*12</f>
        <v/>
      </c>
      <c r="AB25" s="24">
        <f>AB24*12</f>
        <v/>
      </c>
      <c r="AC25" s="24">
        <f>AC24*12</f>
        <v/>
      </c>
      <c r="AD25" s="24">
        <f>AD24*12</f>
        <v/>
      </c>
      <c r="AE25" s="24">
        <f>AE24*12</f>
        <v/>
      </c>
      <c r="AF25" s="24">
        <f>AF24*12</f>
        <v/>
      </c>
      <c r="AG25" s="24">
        <f>AG24*12</f>
        <v/>
      </c>
      <c r="AH25" s="24">
        <f>AH24*12</f>
        <v/>
      </c>
      <c r="AI25" s="24">
        <f>AI24*12</f>
        <v/>
      </c>
      <c r="AJ25" s="24">
        <f>AJ24*12</f>
        <v/>
      </c>
      <c r="AK25" s="24">
        <f>AK24*12</f>
        <v/>
      </c>
    </row>
    <row r="26">
      <c r="A26" t="inlineStr">
        <is>
          <t>MRR growth, % MoM</t>
        </is>
      </c>
      <c r="B26" s="27" t="n">
        <v>0</v>
      </c>
      <c r="C26" s="27">
        <f>IF(B24=0,0,C24/B24-1)</f>
        <v/>
      </c>
      <c r="D26" s="27">
        <f>IF(C24=0,0,D24/C24-1)</f>
        <v/>
      </c>
      <c r="E26" s="27">
        <f>IF(D24=0,0,E24/D24-1)</f>
        <v/>
      </c>
      <c r="F26" s="27">
        <f>IF(E24=0,0,F24/E24-1)</f>
        <v/>
      </c>
      <c r="G26" s="27">
        <f>IF(F24=0,0,G24/F24-1)</f>
        <v/>
      </c>
      <c r="H26" s="27">
        <f>IF(G24=0,0,H24/G24-1)</f>
        <v/>
      </c>
      <c r="I26" s="27">
        <f>IF(H24=0,0,I24/H24-1)</f>
        <v/>
      </c>
      <c r="J26" s="27">
        <f>IF(I24=0,0,J24/I24-1)</f>
        <v/>
      </c>
      <c r="K26" s="27">
        <f>IF(J24=0,0,K24/J24-1)</f>
        <v/>
      </c>
      <c r="L26" s="27">
        <f>IF(K24=0,0,L24/K24-1)</f>
        <v/>
      </c>
      <c r="M26" s="27">
        <f>IF(L24=0,0,M24/L24-1)</f>
        <v/>
      </c>
      <c r="N26" s="27">
        <f>IF(M24=0,0,N24/M24-1)</f>
        <v/>
      </c>
      <c r="O26" s="27">
        <f>IF(N24=0,0,O24/N24-1)</f>
        <v/>
      </c>
      <c r="P26" s="27">
        <f>IF(O24=0,0,P24/O24-1)</f>
        <v/>
      </c>
      <c r="Q26" s="27">
        <f>IF(P24=0,0,Q24/P24-1)</f>
        <v/>
      </c>
      <c r="R26" s="27">
        <f>IF(Q24=0,0,R24/Q24-1)</f>
        <v/>
      </c>
      <c r="S26" s="27">
        <f>IF(R24=0,0,S24/R24-1)</f>
        <v/>
      </c>
      <c r="T26" s="27">
        <f>IF(S24=0,0,T24/S24-1)</f>
        <v/>
      </c>
      <c r="U26" s="27">
        <f>IF(T24=0,0,U24/T24-1)</f>
        <v/>
      </c>
      <c r="V26" s="27">
        <f>IF(U24=0,0,V24/U24-1)</f>
        <v/>
      </c>
      <c r="W26" s="27">
        <f>IF(V24=0,0,W24/V24-1)</f>
        <v/>
      </c>
      <c r="X26" s="27">
        <f>IF(W24=0,0,X24/W24-1)</f>
        <v/>
      </c>
      <c r="Y26" s="27">
        <f>IF(X24=0,0,Y24/X24-1)</f>
        <v/>
      </c>
      <c r="Z26" s="27">
        <f>IF(Y24=0,0,Z24/Y24-1)</f>
        <v/>
      </c>
      <c r="AA26" s="27">
        <f>IF(Z24=0,0,AA24/Z24-1)</f>
        <v/>
      </c>
      <c r="AB26" s="27">
        <f>IF(AA24=0,0,AB24/AA24-1)</f>
        <v/>
      </c>
      <c r="AC26" s="27">
        <f>IF(AB24=0,0,AC24/AB24-1)</f>
        <v/>
      </c>
      <c r="AD26" s="27">
        <f>IF(AC24=0,0,AD24/AC24-1)</f>
        <v/>
      </c>
      <c r="AE26" s="27">
        <f>IF(AD24=0,0,AE24/AD24-1)</f>
        <v/>
      </c>
      <c r="AF26" s="27">
        <f>IF(AE24=0,0,AF24/AE24-1)</f>
        <v/>
      </c>
      <c r="AG26" s="27">
        <f>IF(AF24=0,0,AG24/AF24-1)</f>
        <v/>
      </c>
      <c r="AH26" s="27">
        <f>IF(AG24=0,0,AH24/AG24-1)</f>
        <v/>
      </c>
      <c r="AI26" s="27">
        <f>IF(AH24=0,0,AI24/AH24-1)</f>
        <v/>
      </c>
      <c r="AJ26" s="27">
        <f>IF(AI24=0,0,AJ24/AI24-1)</f>
        <v/>
      </c>
      <c r="AK26" s="27">
        <f>IF(AJ24=0,0,AK24/AJ24-1)</f>
        <v/>
      </c>
    </row>
    <row r="27">
      <c r="A27" t="inlineStr">
        <is>
          <t>Blended ARPU</t>
        </is>
      </c>
      <c r="B27" s="21">
        <f>IF(B23=0,0,B24/B23)</f>
        <v/>
      </c>
      <c r="C27" s="21">
        <f>IF(C23=0,0,C24/C23)</f>
        <v/>
      </c>
      <c r="D27" s="21">
        <f>IF(D23=0,0,D24/D23)</f>
        <v/>
      </c>
      <c r="E27" s="21">
        <f>IF(E23=0,0,E24/E23)</f>
        <v/>
      </c>
      <c r="F27" s="21">
        <f>IF(F23=0,0,F24/F23)</f>
        <v/>
      </c>
      <c r="G27" s="21">
        <f>IF(G23=0,0,G24/G23)</f>
        <v/>
      </c>
      <c r="H27" s="21">
        <f>IF(H23=0,0,H24/H23)</f>
        <v/>
      </c>
      <c r="I27" s="21">
        <f>IF(I23=0,0,I24/I23)</f>
        <v/>
      </c>
      <c r="J27" s="21">
        <f>IF(J23=0,0,J24/J23)</f>
        <v/>
      </c>
      <c r="K27" s="21">
        <f>IF(K23=0,0,K24/K23)</f>
        <v/>
      </c>
      <c r="L27" s="21">
        <f>IF(L23=0,0,L24/L23)</f>
        <v/>
      </c>
      <c r="M27" s="21">
        <f>IF(M23=0,0,M24/M23)</f>
        <v/>
      </c>
      <c r="N27" s="21">
        <f>IF(N23=0,0,N24/N23)</f>
        <v/>
      </c>
      <c r="O27" s="21">
        <f>IF(O23=0,0,O24/O23)</f>
        <v/>
      </c>
      <c r="P27" s="21">
        <f>IF(P23=0,0,P24/P23)</f>
        <v/>
      </c>
      <c r="Q27" s="21">
        <f>IF(Q23=0,0,Q24/Q23)</f>
        <v/>
      </c>
      <c r="R27" s="21">
        <f>IF(R23=0,0,R24/R23)</f>
        <v/>
      </c>
      <c r="S27" s="21">
        <f>IF(S23=0,0,S24/S23)</f>
        <v/>
      </c>
      <c r="T27" s="21">
        <f>IF(T23=0,0,T24/T23)</f>
        <v/>
      </c>
      <c r="U27" s="21">
        <f>IF(U23=0,0,U24/U23)</f>
        <v/>
      </c>
      <c r="V27" s="21">
        <f>IF(V23=0,0,V24/V23)</f>
        <v/>
      </c>
      <c r="W27" s="21">
        <f>IF(W23=0,0,W24/W23)</f>
        <v/>
      </c>
      <c r="X27" s="21">
        <f>IF(X23=0,0,X24/X23)</f>
        <v/>
      </c>
      <c r="Y27" s="21">
        <f>IF(Y23=0,0,Y24/Y23)</f>
        <v/>
      </c>
      <c r="Z27" s="21">
        <f>IF(Z23=0,0,Z24/Z23)</f>
        <v/>
      </c>
      <c r="AA27" s="21">
        <f>IF(AA23=0,0,AA24/AA23)</f>
        <v/>
      </c>
      <c r="AB27" s="21">
        <f>IF(AB23=0,0,AB24/AB23)</f>
        <v/>
      </c>
      <c r="AC27" s="21">
        <f>IF(AC23=0,0,AC24/AC23)</f>
        <v/>
      </c>
      <c r="AD27" s="21">
        <f>IF(AD23=0,0,AD24/AD23)</f>
        <v/>
      </c>
      <c r="AE27" s="21">
        <f>IF(AE23=0,0,AE24/AE23)</f>
        <v/>
      </c>
      <c r="AF27" s="21">
        <f>IF(AF23=0,0,AF24/AF23)</f>
        <v/>
      </c>
      <c r="AG27" s="21">
        <f>IF(AG23=0,0,AG24/AG23)</f>
        <v/>
      </c>
      <c r="AH27" s="21">
        <f>IF(AH23=0,0,AH24/AH23)</f>
        <v/>
      </c>
      <c r="AI27" s="21">
        <f>IF(AI23=0,0,AI24/AI23)</f>
        <v/>
      </c>
      <c r="AJ27" s="21">
        <f>IF(AJ23=0,0,AJ24/AJ23)</f>
        <v/>
      </c>
      <c r="AK27" s="21">
        <f>IF(AK23=0,0,AK24/AK23)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cols>
    <col width="4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Cost Schedule</t>
        </is>
      </c>
    </row>
    <row r="2">
      <c r="A2" s="8" t="inlineStr">
        <is>
          <t>COGS scale with revenue; R&amp;D = GPU training (rented compute); fixed opex from Drivers.</t>
        </is>
      </c>
    </row>
    <row r="4">
      <c r="A4" s="22" t="inlineStr">
        <is>
          <t>($ unless noted)</t>
        </is>
      </c>
      <c r="B4" s="23" t="inlineStr">
        <is>
          <t>M1 Aug-26</t>
        </is>
      </c>
      <c r="C4" s="23" t="inlineStr">
        <is>
          <t>M2 Sep-26</t>
        </is>
      </c>
      <c r="D4" s="23" t="inlineStr">
        <is>
          <t>M3 Oct-26</t>
        </is>
      </c>
      <c r="E4" s="23" t="inlineStr">
        <is>
          <t>M4 Nov-26</t>
        </is>
      </c>
      <c r="F4" s="23" t="inlineStr">
        <is>
          <t>M5 Dec-26</t>
        </is>
      </c>
      <c r="G4" s="23" t="inlineStr">
        <is>
          <t>M6 Jan-27</t>
        </is>
      </c>
      <c r="H4" s="23" t="inlineStr">
        <is>
          <t>M7 Feb-27</t>
        </is>
      </c>
      <c r="I4" s="23" t="inlineStr">
        <is>
          <t>M8 Mar-27</t>
        </is>
      </c>
      <c r="J4" s="23" t="inlineStr">
        <is>
          <t>M9 Apr-27</t>
        </is>
      </c>
      <c r="K4" s="23" t="inlineStr">
        <is>
          <t>M10 May-27</t>
        </is>
      </c>
      <c r="L4" s="23" t="inlineStr">
        <is>
          <t>M11 Jun-27</t>
        </is>
      </c>
      <c r="M4" s="23" t="inlineStr">
        <is>
          <t>M12 Jul-27</t>
        </is>
      </c>
      <c r="N4" s="23" t="inlineStr">
        <is>
          <t>M13 Aug-27</t>
        </is>
      </c>
      <c r="O4" s="23" t="inlineStr">
        <is>
          <t>M14 Sep-27</t>
        </is>
      </c>
      <c r="P4" s="23" t="inlineStr">
        <is>
          <t>M15 Oct-27</t>
        </is>
      </c>
      <c r="Q4" s="23" t="inlineStr">
        <is>
          <t>M16 Nov-27</t>
        </is>
      </c>
      <c r="R4" s="23" t="inlineStr">
        <is>
          <t>M17 Dec-27</t>
        </is>
      </c>
      <c r="S4" s="23" t="inlineStr">
        <is>
          <t>M18 Jan-28</t>
        </is>
      </c>
      <c r="T4" s="23" t="inlineStr">
        <is>
          <t>M19 Feb-28</t>
        </is>
      </c>
      <c r="U4" s="23" t="inlineStr">
        <is>
          <t>M20 Mar-28</t>
        </is>
      </c>
      <c r="V4" s="23" t="inlineStr">
        <is>
          <t>M21 Apr-28</t>
        </is>
      </c>
      <c r="W4" s="23" t="inlineStr">
        <is>
          <t>M22 May-28</t>
        </is>
      </c>
      <c r="X4" s="23" t="inlineStr">
        <is>
          <t>M23 Jun-28</t>
        </is>
      </c>
      <c r="Y4" s="23" t="inlineStr">
        <is>
          <t>M24 Jul-28</t>
        </is>
      </c>
      <c r="Z4" s="23" t="inlineStr">
        <is>
          <t>M25 Aug-28</t>
        </is>
      </c>
      <c r="AA4" s="23" t="inlineStr">
        <is>
          <t>M26 Sep-28</t>
        </is>
      </c>
      <c r="AB4" s="23" t="inlineStr">
        <is>
          <t>M27 Oct-28</t>
        </is>
      </c>
      <c r="AC4" s="23" t="inlineStr">
        <is>
          <t>M28 Nov-28</t>
        </is>
      </c>
      <c r="AD4" s="23" t="inlineStr">
        <is>
          <t>M29 Dec-28</t>
        </is>
      </c>
      <c r="AE4" s="23" t="inlineStr">
        <is>
          <t>M30 Jan-29</t>
        </is>
      </c>
      <c r="AF4" s="23" t="inlineStr">
        <is>
          <t>M31 Feb-29</t>
        </is>
      </c>
      <c r="AG4" s="23" t="inlineStr">
        <is>
          <t>M32 Mar-29</t>
        </is>
      </c>
      <c r="AH4" s="23" t="inlineStr">
        <is>
          <t>M33 Apr-29</t>
        </is>
      </c>
      <c r="AI4" s="23" t="inlineStr">
        <is>
          <t>M34 May-29</t>
        </is>
      </c>
      <c r="AJ4" s="23" t="inlineStr">
        <is>
          <t>M35 Jun-29</t>
        </is>
      </c>
      <c r="AK4" s="23" t="inlineStr">
        <is>
          <t>M36 Jul-29</t>
        </is>
      </c>
    </row>
    <row r="5">
      <c r="A5" s="9" t="inlineStr">
        <is>
          <t>COGS (revenue-linked + serving)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Payment processing (Stripe)</t>
        </is>
      </c>
      <c r="B6" s="28">
        <f>'Rev Build'!B24*Drivers!$B$21+'Rev Build'!B23*Drivers!$B$22</f>
        <v/>
      </c>
      <c r="C6" s="28">
        <f>'Rev Build'!C24*Drivers!$B$21+'Rev Build'!C23*Drivers!$B$22</f>
        <v/>
      </c>
      <c r="D6" s="28">
        <f>'Rev Build'!D24*Drivers!$B$21+'Rev Build'!D23*Drivers!$B$22</f>
        <v/>
      </c>
      <c r="E6" s="28">
        <f>'Rev Build'!E24*Drivers!$B$21+'Rev Build'!E23*Drivers!$B$22</f>
        <v/>
      </c>
      <c r="F6" s="28">
        <f>'Rev Build'!F24*Drivers!$B$21+'Rev Build'!F23*Drivers!$B$22</f>
        <v/>
      </c>
      <c r="G6" s="28">
        <f>'Rev Build'!G24*Drivers!$B$21+'Rev Build'!G23*Drivers!$B$22</f>
        <v/>
      </c>
      <c r="H6" s="28">
        <f>'Rev Build'!H24*Drivers!$B$21+'Rev Build'!H23*Drivers!$B$22</f>
        <v/>
      </c>
      <c r="I6" s="28">
        <f>'Rev Build'!I24*Drivers!$B$21+'Rev Build'!I23*Drivers!$B$22</f>
        <v/>
      </c>
      <c r="J6" s="28">
        <f>'Rev Build'!J24*Drivers!$B$21+'Rev Build'!J23*Drivers!$B$22</f>
        <v/>
      </c>
      <c r="K6" s="28">
        <f>'Rev Build'!K24*Drivers!$B$21+'Rev Build'!K23*Drivers!$B$22</f>
        <v/>
      </c>
      <c r="L6" s="28">
        <f>'Rev Build'!L24*Drivers!$B$21+'Rev Build'!L23*Drivers!$B$22</f>
        <v/>
      </c>
      <c r="M6" s="28">
        <f>'Rev Build'!M24*Drivers!$B$21+'Rev Build'!M23*Drivers!$B$22</f>
        <v/>
      </c>
      <c r="N6" s="28">
        <f>'Rev Build'!N24*Drivers!$B$21+'Rev Build'!N23*Drivers!$B$22</f>
        <v/>
      </c>
      <c r="O6" s="28">
        <f>'Rev Build'!O24*Drivers!$B$21+'Rev Build'!O23*Drivers!$B$22</f>
        <v/>
      </c>
      <c r="P6" s="28">
        <f>'Rev Build'!P24*Drivers!$B$21+'Rev Build'!P23*Drivers!$B$22</f>
        <v/>
      </c>
      <c r="Q6" s="28">
        <f>'Rev Build'!Q24*Drivers!$B$21+'Rev Build'!Q23*Drivers!$B$22</f>
        <v/>
      </c>
      <c r="R6" s="28">
        <f>'Rev Build'!R24*Drivers!$B$21+'Rev Build'!R23*Drivers!$B$22</f>
        <v/>
      </c>
      <c r="S6" s="28">
        <f>'Rev Build'!S24*Drivers!$B$21+'Rev Build'!S23*Drivers!$B$22</f>
        <v/>
      </c>
      <c r="T6" s="28">
        <f>'Rev Build'!T24*Drivers!$B$21+'Rev Build'!T23*Drivers!$B$22</f>
        <v/>
      </c>
      <c r="U6" s="28">
        <f>'Rev Build'!U24*Drivers!$B$21+'Rev Build'!U23*Drivers!$B$22</f>
        <v/>
      </c>
      <c r="V6" s="28">
        <f>'Rev Build'!V24*Drivers!$B$21+'Rev Build'!V23*Drivers!$B$22</f>
        <v/>
      </c>
      <c r="W6" s="28">
        <f>'Rev Build'!W24*Drivers!$B$21+'Rev Build'!W23*Drivers!$B$22</f>
        <v/>
      </c>
      <c r="X6" s="28">
        <f>'Rev Build'!X24*Drivers!$B$21+'Rev Build'!X23*Drivers!$B$22</f>
        <v/>
      </c>
      <c r="Y6" s="28">
        <f>'Rev Build'!Y24*Drivers!$B$21+'Rev Build'!Y23*Drivers!$B$22</f>
        <v/>
      </c>
      <c r="Z6" s="28">
        <f>'Rev Build'!Z24*Drivers!$B$21+'Rev Build'!Z23*Drivers!$B$22</f>
        <v/>
      </c>
      <c r="AA6" s="28">
        <f>'Rev Build'!AA24*Drivers!$B$21+'Rev Build'!AA23*Drivers!$B$22</f>
        <v/>
      </c>
      <c r="AB6" s="28">
        <f>'Rev Build'!AB24*Drivers!$B$21+'Rev Build'!AB23*Drivers!$B$22</f>
        <v/>
      </c>
      <c r="AC6" s="28">
        <f>'Rev Build'!AC24*Drivers!$B$21+'Rev Build'!AC23*Drivers!$B$22</f>
        <v/>
      </c>
      <c r="AD6" s="28">
        <f>'Rev Build'!AD24*Drivers!$B$21+'Rev Build'!AD23*Drivers!$B$22</f>
        <v/>
      </c>
      <c r="AE6" s="28">
        <f>'Rev Build'!AE24*Drivers!$B$21+'Rev Build'!AE23*Drivers!$B$22</f>
        <v/>
      </c>
      <c r="AF6" s="28">
        <f>'Rev Build'!AF24*Drivers!$B$21+'Rev Build'!AF23*Drivers!$B$22</f>
        <v/>
      </c>
      <c r="AG6" s="28">
        <f>'Rev Build'!AG24*Drivers!$B$21+'Rev Build'!AG23*Drivers!$B$22</f>
        <v/>
      </c>
      <c r="AH6" s="28">
        <f>'Rev Build'!AH24*Drivers!$B$21+'Rev Build'!AH23*Drivers!$B$22</f>
        <v/>
      </c>
      <c r="AI6" s="28">
        <f>'Rev Build'!AI24*Drivers!$B$21+'Rev Build'!AI23*Drivers!$B$22</f>
        <v/>
      </c>
      <c r="AJ6" s="28">
        <f>'Rev Build'!AJ24*Drivers!$B$21+'Rev Build'!AJ23*Drivers!$B$22</f>
        <v/>
      </c>
      <c r="AK6" s="28">
        <f>'Rev Build'!AK24*Drivers!$B$21+'Rev Build'!AK23*Drivers!$B$22</f>
        <v/>
      </c>
    </row>
    <row r="7">
      <c r="A7" t="inlineStr">
        <is>
          <t>Serving infrastructure (AWS)</t>
        </is>
      </c>
      <c r="B7" s="24">
        <f>Drivers!$B$35+Drivers!$B$36+Drivers!$B$37+Drivers!$B$38</f>
        <v/>
      </c>
      <c r="C7" s="24">
        <f>Drivers!$B$35+Drivers!$B$36+Drivers!$B$37+Drivers!$B$38</f>
        <v/>
      </c>
      <c r="D7" s="24">
        <f>Drivers!$B$35+Drivers!$B$36+Drivers!$B$37+Drivers!$B$38</f>
        <v/>
      </c>
      <c r="E7" s="24">
        <f>Drivers!$B$35+Drivers!$B$36+Drivers!$B$37+Drivers!$B$38</f>
        <v/>
      </c>
      <c r="F7" s="24">
        <f>Drivers!$B$35+Drivers!$B$36+Drivers!$B$37+Drivers!$B$38</f>
        <v/>
      </c>
      <c r="G7" s="24">
        <f>Drivers!$B$35+Drivers!$B$36+Drivers!$B$37+Drivers!$B$38</f>
        <v/>
      </c>
      <c r="H7" s="24">
        <f>Drivers!$B$35+Drivers!$B$36+Drivers!$B$37+Drivers!$B$38</f>
        <v/>
      </c>
      <c r="I7" s="24">
        <f>Drivers!$B$35+Drivers!$B$36+Drivers!$B$37+Drivers!$B$38</f>
        <v/>
      </c>
      <c r="J7" s="24">
        <f>Drivers!$B$35+Drivers!$B$36+Drivers!$B$37+Drivers!$B$38</f>
        <v/>
      </c>
      <c r="K7" s="24">
        <f>Drivers!$B$35+Drivers!$B$36+Drivers!$B$37+Drivers!$B$38</f>
        <v/>
      </c>
      <c r="L7" s="24">
        <f>Drivers!$B$35+Drivers!$B$36+Drivers!$B$37+Drivers!$B$38</f>
        <v/>
      </c>
      <c r="M7" s="24">
        <f>Drivers!$B$35+Drivers!$B$36+Drivers!$B$37+Drivers!$B$38</f>
        <v/>
      </c>
      <c r="N7" s="24">
        <f>Drivers!$B$35+Drivers!$B$36+Drivers!$B$37+Drivers!$B$38</f>
        <v/>
      </c>
      <c r="O7" s="24">
        <f>Drivers!$B$35+Drivers!$B$36+Drivers!$B$37+Drivers!$B$38</f>
        <v/>
      </c>
      <c r="P7" s="24">
        <f>Drivers!$B$35+Drivers!$B$36+Drivers!$B$37+Drivers!$B$38</f>
        <v/>
      </c>
      <c r="Q7" s="24">
        <f>Drivers!$B$35+Drivers!$B$36+Drivers!$B$37+Drivers!$B$38</f>
        <v/>
      </c>
      <c r="R7" s="24">
        <f>Drivers!$B$35+Drivers!$B$36+Drivers!$B$37+Drivers!$B$38</f>
        <v/>
      </c>
      <c r="S7" s="24">
        <f>Drivers!$B$35+Drivers!$B$36+Drivers!$B$37+Drivers!$B$38</f>
        <v/>
      </c>
      <c r="T7" s="24">
        <f>Drivers!$B$35+Drivers!$B$36+Drivers!$B$37+Drivers!$B$38</f>
        <v/>
      </c>
      <c r="U7" s="24">
        <f>Drivers!$B$35+Drivers!$B$36+Drivers!$B$37+Drivers!$B$38</f>
        <v/>
      </c>
      <c r="V7" s="24">
        <f>Drivers!$B$35+Drivers!$B$36+Drivers!$B$37+Drivers!$B$38</f>
        <v/>
      </c>
      <c r="W7" s="24">
        <f>Drivers!$B$35+Drivers!$B$36+Drivers!$B$37+Drivers!$B$38</f>
        <v/>
      </c>
      <c r="X7" s="24">
        <f>Drivers!$B$35+Drivers!$B$36+Drivers!$B$37+Drivers!$B$38</f>
        <v/>
      </c>
      <c r="Y7" s="24">
        <f>Drivers!$B$35+Drivers!$B$36+Drivers!$B$37+Drivers!$B$38</f>
        <v/>
      </c>
      <c r="Z7" s="24">
        <f>Drivers!$B$35+Drivers!$B$36+Drivers!$B$37+Drivers!$B$38</f>
        <v/>
      </c>
      <c r="AA7" s="24">
        <f>Drivers!$B$35+Drivers!$B$36+Drivers!$B$37+Drivers!$B$38</f>
        <v/>
      </c>
      <c r="AB7" s="24">
        <f>Drivers!$B$35+Drivers!$B$36+Drivers!$B$37+Drivers!$B$38</f>
        <v/>
      </c>
      <c r="AC7" s="24">
        <f>Drivers!$B$35+Drivers!$B$36+Drivers!$B$37+Drivers!$B$38</f>
        <v/>
      </c>
      <c r="AD7" s="24">
        <f>Drivers!$B$35+Drivers!$B$36+Drivers!$B$37+Drivers!$B$38</f>
        <v/>
      </c>
      <c r="AE7" s="24">
        <f>Drivers!$B$35+Drivers!$B$36+Drivers!$B$37+Drivers!$B$38</f>
        <v/>
      </c>
      <c r="AF7" s="24">
        <f>Drivers!$B$35+Drivers!$B$36+Drivers!$B$37+Drivers!$B$38</f>
        <v/>
      </c>
      <c r="AG7" s="24">
        <f>Drivers!$B$35+Drivers!$B$36+Drivers!$B$37+Drivers!$B$38</f>
        <v/>
      </c>
      <c r="AH7" s="24">
        <f>Drivers!$B$35+Drivers!$B$36+Drivers!$B$37+Drivers!$B$38</f>
        <v/>
      </c>
      <c r="AI7" s="24">
        <f>Drivers!$B$35+Drivers!$B$36+Drivers!$B$37+Drivers!$B$38</f>
        <v/>
      </c>
      <c r="AJ7" s="24">
        <f>Drivers!$B$35+Drivers!$B$36+Drivers!$B$37+Drivers!$B$38</f>
        <v/>
      </c>
      <c r="AK7" s="24">
        <f>Drivers!$B$35+Drivers!$B$36+Drivers!$B$37+Drivers!$B$38</f>
        <v/>
      </c>
    </row>
    <row r="8">
      <c r="A8" t="inlineStr">
        <is>
          <t>Data APIs</t>
        </is>
      </c>
      <c r="B8" s="24">
        <f>Drivers!$B$39+Drivers!$B$40+Drivers!$B$41</f>
        <v/>
      </c>
      <c r="C8" s="24">
        <f>Drivers!$B$39+Drivers!$B$40+Drivers!$B$41</f>
        <v/>
      </c>
      <c r="D8" s="24">
        <f>Drivers!$B$39+Drivers!$B$40+Drivers!$B$41</f>
        <v/>
      </c>
      <c r="E8" s="24">
        <f>Drivers!$B$39+Drivers!$B$40+Drivers!$B$41</f>
        <v/>
      </c>
      <c r="F8" s="24">
        <f>Drivers!$B$39+Drivers!$B$40+Drivers!$B$41</f>
        <v/>
      </c>
      <c r="G8" s="24">
        <f>Drivers!$B$39+Drivers!$B$40+Drivers!$B$41</f>
        <v/>
      </c>
      <c r="H8" s="24">
        <f>Drivers!$B$39+Drivers!$B$40+Drivers!$B$41</f>
        <v/>
      </c>
      <c r="I8" s="24">
        <f>Drivers!$B$39+Drivers!$B$40+Drivers!$B$41</f>
        <v/>
      </c>
      <c r="J8" s="24">
        <f>Drivers!$B$39+Drivers!$B$40+Drivers!$B$41</f>
        <v/>
      </c>
      <c r="K8" s="24">
        <f>Drivers!$B$39+Drivers!$B$40+Drivers!$B$41</f>
        <v/>
      </c>
      <c r="L8" s="24">
        <f>Drivers!$B$39+Drivers!$B$40+Drivers!$B$41</f>
        <v/>
      </c>
      <c r="M8" s="24">
        <f>Drivers!$B$39+Drivers!$B$40+Drivers!$B$41</f>
        <v/>
      </c>
      <c r="N8" s="24">
        <f>Drivers!$B$39+Drivers!$B$40+Drivers!$B$41</f>
        <v/>
      </c>
      <c r="O8" s="24">
        <f>Drivers!$B$39+Drivers!$B$40+Drivers!$B$41</f>
        <v/>
      </c>
      <c r="P8" s="24">
        <f>Drivers!$B$39+Drivers!$B$40+Drivers!$B$41</f>
        <v/>
      </c>
      <c r="Q8" s="24">
        <f>Drivers!$B$39+Drivers!$B$40+Drivers!$B$41</f>
        <v/>
      </c>
      <c r="R8" s="24">
        <f>Drivers!$B$39+Drivers!$B$40+Drivers!$B$41</f>
        <v/>
      </c>
      <c r="S8" s="24">
        <f>Drivers!$B$39+Drivers!$B$40+Drivers!$B$41</f>
        <v/>
      </c>
      <c r="T8" s="24">
        <f>Drivers!$B$39+Drivers!$B$40+Drivers!$B$41</f>
        <v/>
      </c>
      <c r="U8" s="24">
        <f>Drivers!$B$39+Drivers!$B$40+Drivers!$B$41</f>
        <v/>
      </c>
      <c r="V8" s="24">
        <f>Drivers!$B$39+Drivers!$B$40+Drivers!$B$41</f>
        <v/>
      </c>
      <c r="W8" s="24">
        <f>Drivers!$B$39+Drivers!$B$40+Drivers!$B$41</f>
        <v/>
      </c>
      <c r="X8" s="24">
        <f>Drivers!$B$39+Drivers!$B$40+Drivers!$B$41</f>
        <v/>
      </c>
      <c r="Y8" s="24">
        <f>Drivers!$B$39+Drivers!$B$40+Drivers!$B$41</f>
        <v/>
      </c>
      <c r="Z8" s="24">
        <f>Drivers!$B$39+Drivers!$B$40+Drivers!$B$41</f>
        <v/>
      </c>
      <c r="AA8" s="24">
        <f>Drivers!$B$39+Drivers!$B$40+Drivers!$B$41</f>
        <v/>
      </c>
      <c r="AB8" s="24">
        <f>Drivers!$B$39+Drivers!$B$40+Drivers!$B$41</f>
        <v/>
      </c>
      <c r="AC8" s="24">
        <f>Drivers!$B$39+Drivers!$B$40+Drivers!$B$41</f>
        <v/>
      </c>
      <c r="AD8" s="24">
        <f>Drivers!$B$39+Drivers!$B$40+Drivers!$B$41</f>
        <v/>
      </c>
      <c r="AE8" s="24">
        <f>Drivers!$B$39+Drivers!$B$40+Drivers!$B$41</f>
        <v/>
      </c>
      <c r="AF8" s="24">
        <f>Drivers!$B$39+Drivers!$B$40+Drivers!$B$41</f>
        <v/>
      </c>
      <c r="AG8" s="24">
        <f>Drivers!$B$39+Drivers!$B$40+Drivers!$B$41</f>
        <v/>
      </c>
      <c r="AH8" s="24">
        <f>Drivers!$B$39+Drivers!$B$40+Drivers!$B$41</f>
        <v/>
      </c>
      <c r="AI8" s="24">
        <f>Drivers!$B$39+Drivers!$B$40+Drivers!$B$41</f>
        <v/>
      </c>
      <c r="AJ8" s="24">
        <f>Drivers!$B$39+Drivers!$B$40+Drivers!$B$41</f>
        <v/>
      </c>
      <c r="AK8" s="24">
        <f>Drivers!$B$39+Drivers!$B$40+Drivers!$B$41</f>
        <v/>
      </c>
    </row>
    <row r="9">
      <c r="A9" s="25" t="inlineStr">
        <is>
          <t>Total COGS</t>
        </is>
      </c>
      <c r="B9" s="26">
        <f>B6+B7+B8</f>
        <v/>
      </c>
      <c r="C9" s="26">
        <f>C6+C7+C8</f>
        <v/>
      </c>
      <c r="D9" s="26">
        <f>D6+D7+D8</f>
        <v/>
      </c>
      <c r="E9" s="26">
        <f>E6+E7+E8</f>
        <v/>
      </c>
      <c r="F9" s="26">
        <f>F6+F7+F8</f>
        <v/>
      </c>
      <c r="G9" s="26">
        <f>G6+G7+G8</f>
        <v/>
      </c>
      <c r="H9" s="26">
        <f>H6+H7+H8</f>
        <v/>
      </c>
      <c r="I9" s="26">
        <f>I6+I7+I8</f>
        <v/>
      </c>
      <c r="J9" s="26">
        <f>J6+J7+J8</f>
        <v/>
      </c>
      <c r="K9" s="26">
        <f>K6+K7+K8</f>
        <v/>
      </c>
      <c r="L9" s="26">
        <f>L6+L7+L8</f>
        <v/>
      </c>
      <c r="M9" s="26">
        <f>M6+M7+M8</f>
        <v/>
      </c>
      <c r="N9" s="26">
        <f>N6+N7+N8</f>
        <v/>
      </c>
      <c r="O9" s="26">
        <f>O6+O7+O8</f>
        <v/>
      </c>
      <c r="P9" s="26">
        <f>P6+P7+P8</f>
        <v/>
      </c>
      <c r="Q9" s="26">
        <f>Q6+Q7+Q8</f>
        <v/>
      </c>
      <c r="R9" s="26">
        <f>R6+R7+R8</f>
        <v/>
      </c>
      <c r="S9" s="26">
        <f>S6+S7+S8</f>
        <v/>
      </c>
      <c r="T9" s="26">
        <f>T6+T7+T8</f>
        <v/>
      </c>
      <c r="U9" s="26">
        <f>U6+U7+U8</f>
        <v/>
      </c>
      <c r="V9" s="26">
        <f>V6+V7+V8</f>
        <v/>
      </c>
      <c r="W9" s="26">
        <f>W6+W7+W8</f>
        <v/>
      </c>
      <c r="X9" s="26">
        <f>X6+X7+X8</f>
        <v/>
      </c>
      <c r="Y9" s="26">
        <f>Y6+Y7+Y8</f>
        <v/>
      </c>
      <c r="Z9" s="26">
        <f>Z6+Z7+Z8</f>
        <v/>
      </c>
      <c r="AA9" s="26">
        <f>AA6+AA7+AA8</f>
        <v/>
      </c>
      <c r="AB9" s="26">
        <f>AB6+AB7+AB8</f>
        <v/>
      </c>
      <c r="AC9" s="26">
        <f>AC6+AC7+AC8</f>
        <v/>
      </c>
      <c r="AD9" s="26">
        <f>AD6+AD7+AD8</f>
        <v/>
      </c>
      <c r="AE9" s="26">
        <f>AE6+AE7+AE8</f>
        <v/>
      </c>
      <c r="AF9" s="26">
        <f>AF6+AF7+AF8</f>
        <v/>
      </c>
      <c r="AG9" s="26">
        <f>AG6+AG7+AG8</f>
        <v/>
      </c>
      <c r="AH9" s="26">
        <f>AH6+AH7+AH8</f>
        <v/>
      </c>
      <c r="AI9" s="26">
        <f>AI6+AI7+AI8</f>
        <v/>
      </c>
      <c r="AJ9" s="26">
        <f>AJ6+AJ7+AJ8</f>
        <v/>
      </c>
      <c r="AK9" s="26">
        <f>AK6+AK7+AK8</f>
        <v/>
      </c>
    </row>
    <row r="10">
      <c r="A10" s="9" t="inlineStr">
        <is>
          <t>R&amp;D — MODEL TRAINING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</row>
    <row r="11">
      <c r="A11" t="inlineStr">
        <is>
          <t>Single-GPU fine-tune (g6e.xlarge)</t>
        </is>
      </c>
      <c r="B11" s="24">
        <f>Drivers!$B$24*Drivers!$B$25</f>
        <v/>
      </c>
      <c r="C11" s="24">
        <f>Drivers!$B$24*Drivers!$B$25</f>
        <v/>
      </c>
      <c r="D11" s="24">
        <f>Drivers!$B$24*Drivers!$B$25</f>
        <v/>
      </c>
      <c r="E11" s="24">
        <f>Drivers!$B$24*Drivers!$B$25</f>
        <v/>
      </c>
      <c r="F11" s="24">
        <f>Drivers!$B$24*Drivers!$B$25</f>
        <v/>
      </c>
      <c r="G11" s="24">
        <f>Drivers!$B$24*Drivers!$B$25</f>
        <v/>
      </c>
      <c r="H11" s="24">
        <f>Drivers!$B$24*Drivers!$B$25</f>
        <v/>
      </c>
      <c r="I11" s="24">
        <f>Drivers!$B$24*Drivers!$B$25</f>
        <v/>
      </c>
      <c r="J11" s="24">
        <f>Drivers!$B$24*Drivers!$B$25</f>
        <v/>
      </c>
      <c r="K11" s="24">
        <f>Drivers!$B$24*Drivers!$B$25</f>
        <v/>
      </c>
      <c r="L11" s="24">
        <f>Drivers!$B$24*Drivers!$B$25</f>
        <v/>
      </c>
      <c r="M11" s="24">
        <f>Drivers!$B$24*Drivers!$B$25</f>
        <v/>
      </c>
      <c r="N11" s="24">
        <f>Drivers!$B$24*Drivers!$B$25</f>
        <v/>
      </c>
      <c r="O11" s="24">
        <f>Drivers!$B$24*Drivers!$B$25</f>
        <v/>
      </c>
      <c r="P11" s="24">
        <f>Drivers!$B$24*Drivers!$B$25</f>
        <v/>
      </c>
      <c r="Q11" s="24">
        <f>Drivers!$B$24*Drivers!$B$25</f>
        <v/>
      </c>
      <c r="R11" s="24">
        <f>Drivers!$B$24*Drivers!$B$25</f>
        <v/>
      </c>
      <c r="S11" s="24">
        <f>Drivers!$B$24*Drivers!$B$25</f>
        <v/>
      </c>
      <c r="T11" s="24">
        <f>Drivers!$B$24*Drivers!$B$25</f>
        <v/>
      </c>
      <c r="U11" s="24">
        <f>Drivers!$B$24*Drivers!$B$25</f>
        <v/>
      </c>
      <c r="V11" s="24">
        <f>Drivers!$B$24*Drivers!$B$25</f>
        <v/>
      </c>
      <c r="W11" s="24">
        <f>Drivers!$B$24*Drivers!$B$25</f>
        <v/>
      </c>
      <c r="X11" s="24">
        <f>Drivers!$B$24*Drivers!$B$25</f>
        <v/>
      </c>
      <c r="Y11" s="24">
        <f>Drivers!$B$24*Drivers!$B$25</f>
        <v/>
      </c>
      <c r="Z11" s="24">
        <f>Drivers!$B$24*Drivers!$B$25</f>
        <v/>
      </c>
      <c r="AA11" s="24">
        <f>Drivers!$B$24*Drivers!$B$25</f>
        <v/>
      </c>
      <c r="AB11" s="24">
        <f>Drivers!$B$24*Drivers!$B$25</f>
        <v/>
      </c>
      <c r="AC11" s="24">
        <f>Drivers!$B$24*Drivers!$B$25</f>
        <v/>
      </c>
      <c r="AD11" s="24">
        <f>Drivers!$B$24*Drivers!$B$25</f>
        <v/>
      </c>
      <c r="AE11" s="24">
        <f>Drivers!$B$24*Drivers!$B$25</f>
        <v/>
      </c>
      <c r="AF11" s="24">
        <f>Drivers!$B$24*Drivers!$B$25</f>
        <v/>
      </c>
      <c r="AG11" s="24">
        <f>Drivers!$B$24*Drivers!$B$25</f>
        <v/>
      </c>
      <c r="AH11" s="24">
        <f>Drivers!$B$24*Drivers!$B$25</f>
        <v/>
      </c>
      <c r="AI11" s="24">
        <f>Drivers!$B$24*Drivers!$B$25</f>
        <v/>
      </c>
      <c r="AJ11" s="24">
        <f>Drivers!$B$24*Drivers!$B$25</f>
        <v/>
      </c>
      <c r="AK11" s="24">
        <f>Drivers!$B$24*Drivers!$B$25</f>
        <v/>
      </c>
    </row>
    <row r="12">
      <c r="A12" t="inlineStr">
        <is>
          <t>Multi-GPU runs (g6e.12xlarge)</t>
        </is>
      </c>
      <c r="B12" s="24">
        <f>Drivers!$B$26*Drivers!$B$27</f>
        <v/>
      </c>
      <c r="C12" s="24">
        <f>Drivers!$B$26*Drivers!$B$27</f>
        <v/>
      </c>
      <c r="D12" s="24">
        <f>Drivers!$B$26*Drivers!$B$27</f>
        <v/>
      </c>
      <c r="E12" s="24">
        <f>Drivers!$B$26*Drivers!$B$27</f>
        <v/>
      </c>
      <c r="F12" s="24">
        <f>Drivers!$B$26*Drivers!$B$27</f>
        <v/>
      </c>
      <c r="G12" s="24">
        <f>Drivers!$B$26*Drivers!$B$27</f>
        <v/>
      </c>
      <c r="H12" s="24">
        <f>Drivers!$B$26*Drivers!$B$27</f>
        <v/>
      </c>
      <c r="I12" s="24">
        <f>Drivers!$B$26*Drivers!$B$27</f>
        <v/>
      </c>
      <c r="J12" s="24">
        <f>Drivers!$B$26*Drivers!$B$27</f>
        <v/>
      </c>
      <c r="K12" s="24">
        <f>Drivers!$B$26*Drivers!$B$27</f>
        <v/>
      </c>
      <c r="L12" s="24">
        <f>Drivers!$B$26*Drivers!$B$27</f>
        <v/>
      </c>
      <c r="M12" s="24">
        <f>Drivers!$B$26*Drivers!$B$27</f>
        <v/>
      </c>
      <c r="N12" s="24">
        <f>Drivers!$B$26*Drivers!$B$27</f>
        <v/>
      </c>
      <c r="O12" s="24">
        <f>Drivers!$B$26*Drivers!$B$27</f>
        <v/>
      </c>
      <c r="P12" s="24">
        <f>Drivers!$B$26*Drivers!$B$27</f>
        <v/>
      </c>
      <c r="Q12" s="24">
        <f>Drivers!$B$26*Drivers!$B$27</f>
        <v/>
      </c>
      <c r="R12" s="24">
        <f>Drivers!$B$26*Drivers!$B$27</f>
        <v/>
      </c>
      <c r="S12" s="24">
        <f>Drivers!$B$26*Drivers!$B$27</f>
        <v/>
      </c>
      <c r="T12" s="24">
        <f>Drivers!$B$26*Drivers!$B$27</f>
        <v/>
      </c>
      <c r="U12" s="24">
        <f>Drivers!$B$26*Drivers!$B$27</f>
        <v/>
      </c>
      <c r="V12" s="24">
        <f>Drivers!$B$26*Drivers!$B$27</f>
        <v/>
      </c>
      <c r="W12" s="24">
        <f>Drivers!$B$26*Drivers!$B$27</f>
        <v/>
      </c>
      <c r="X12" s="24">
        <f>Drivers!$B$26*Drivers!$B$27</f>
        <v/>
      </c>
      <c r="Y12" s="24">
        <f>Drivers!$B$26*Drivers!$B$27</f>
        <v/>
      </c>
      <c r="Z12" s="24">
        <f>Drivers!$B$26*Drivers!$B$27</f>
        <v/>
      </c>
      <c r="AA12" s="24">
        <f>Drivers!$B$26*Drivers!$B$27</f>
        <v/>
      </c>
      <c r="AB12" s="24">
        <f>Drivers!$B$26*Drivers!$B$27</f>
        <v/>
      </c>
      <c r="AC12" s="24">
        <f>Drivers!$B$26*Drivers!$B$27</f>
        <v/>
      </c>
      <c r="AD12" s="24">
        <f>Drivers!$B$26*Drivers!$B$27</f>
        <v/>
      </c>
      <c r="AE12" s="24">
        <f>Drivers!$B$26*Drivers!$B$27</f>
        <v/>
      </c>
      <c r="AF12" s="24">
        <f>Drivers!$B$26*Drivers!$B$27</f>
        <v/>
      </c>
      <c r="AG12" s="24">
        <f>Drivers!$B$26*Drivers!$B$27</f>
        <v/>
      </c>
      <c r="AH12" s="24">
        <f>Drivers!$B$26*Drivers!$B$27</f>
        <v/>
      </c>
      <c r="AI12" s="24">
        <f>Drivers!$B$26*Drivers!$B$27</f>
        <v/>
      </c>
      <c r="AJ12" s="24">
        <f>Drivers!$B$26*Drivers!$B$27</f>
        <v/>
      </c>
      <c r="AK12" s="24">
        <f>Drivers!$B$26*Drivers!$B$27</f>
        <v/>
      </c>
    </row>
    <row r="13">
      <c r="A13" t="inlineStr">
        <is>
          <t>H100 Capacity Blocks (Scale plan)</t>
        </is>
      </c>
      <c r="B13" s="24">
        <f>IF(Drivers!$B$6=2,Drivers!$B$28*Drivers!$B$29,0)</f>
        <v/>
      </c>
      <c r="C13" s="24">
        <f>IF(Drivers!$B$6=2,Drivers!$B$28*Drivers!$B$29,0)</f>
        <v/>
      </c>
      <c r="D13" s="24">
        <f>IF(Drivers!$B$6=2,Drivers!$B$28*Drivers!$B$29,0)</f>
        <v/>
      </c>
      <c r="E13" s="24">
        <f>IF(Drivers!$B$6=2,Drivers!$B$28*Drivers!$B$29,0)</f>
        <v/>
      </c>
      <c r="F13" s="24">
        <f>IF(Drivers!$B$6=2,Drivers!$B$28*Drivers!$B$29,0)</f>
        <v/>
      </c>
      <c r="G13" s="24">
        <f>IF(Drivers!$B$6=2,Drivers!$B$28*Drivers!$B$29,0)</f>
        <v/>
      </c>
      <c r="H13" s="24">
        <f>IF(Drivers!$B$6=2,Drivers!$B$28*Drivers!$B$29,0)</f>
        <v/>
      </c>
      <c r="I13" s="24">
        <f>IF(Drivers!$B$6=2,Drivers!$B$28*Drivers!$B$29,0)</f>
        <v/>
      </c>
      <c r="J13" s="24">
        <f>IF(Drivers!$B$6=2,Drivers!$B$28*Drivers!$B$29,0)</f>
        <v/>
      </c>
      <c r="K13" s="24">
        <f>IF(Drivers!$B$6=2,Drivers!$B$28*Drivers!$B$29,0)</f>
        <v/>
      </c>
      <c r="L13" s="24">
        <f>IF(Drivers!$B$6=2,Drivers!$B$28*Drivers!$B$29,0)</f>
        <v/>
      </c>
      <c r="M13" s="24">
        <f>IF(Drivers!$B$6=2,Drivers!$B$28*Drivers!$B$29,0)</f>
        <v/>
      </c>
      <c r="N13" s="24">
        <f>IF(Drivers!$B$6=2,Drivers!$B$28*Drivers!$B$29,0)</f>
        <v/>
      </c>
      <c r="O13" s="24">
        <f>IF(Drivers!$B$6=2,Drivers!$B$28*Drivers!$B$29,0)</f>
        <v/>
      </c>
      <c r="P13" s="24">
        <f>IF(Drivers!$B$6=2,Drivers!$B$28*Drivers!$B$29,0)</f>
        <v/>
      </c>
      <c r="Q13" s="24">
        <f>IF(Drivers!$B$6=2,Drivers!$B$28*Drivers!$B$29,0)</f>
        <v/>
      </c>
      <c r="R13" s="24">
        <f>IF(Drivers!$B$6=2,Drivers!$B$28*Drivers!$B$29,0)</f>
        <v/>
      </c>
      <c r="S13" s="24">
        <f>IF(Drivers!$B$6=2,Drivers!$B$28*Drivers!$B$29,0)</f>
        <v/>
      </c>
      <c r="T13" s="24">
        <f>IF(Drivers!$B$6=2,Drivers!$B$28*Drivers!$B$29,0)</f>
        <v/>
      </c>
      <c r="U13" s="24">
        <f>IF(Drivers!$B$6=2,Drivers!$B$28*Drivers!$B$29,0)</f>
        <v/>
      </c>
      <c r="V13" s="24">
        <f>IF(Drivers!$B$6=2,Drivers!$B$28*Drivers!$B$29,0)</f>
        <v/>
      </c>
      <c r="W13" s="24">
        <f>IF(Drivers!$B$6=2,Drivers!$B$28*Drivers!$B$29,0)</f>
        <v/>
      </c>
      <c r="X13" s="24">
        <f>IF(Drivers!$B$6=2,Drivers!$B$28*Drivers!$B$29,0)</f>
        <v/>
      </c>
      <c r="Y13" s="24">
        <f>IF(Drivers!$B$6=2,Drivers!$B$28*Drivers!$B$29,0)</f>
        <v/>
      </c>
      <c r="Z13" s="24">
        <f>IF(Drivers!$B$6=2,Drivers!$B$28*Drivers!$B$29,0)</f>
        <v/>
      </c>
      <c r="AA13" s="24">
        <f>IF(Drivers!$B$6=2,Drivers!$B$28*Drivers!$B$29,0)</f>
        <v/>
      </c>
      <c r="AB13" s="24">
        <f>IF(Drivers!$B$6=2,Drivers!$B$28*Drivers!$B$29,0)</f>
        <v/>
      </c>
      <c r="AC13" s="24">
        <f>IF(Drivers!$B$6=2,Drivers!$B$28*Drivers!$B$29,0)</f>
        <v/>
      </c>
      <c r="AD13" s="24">
        <f>IF(Drivers!$B$6=2,Drivers!$B$28*Drivers!$B$29,0)</f>
        <v/>
      </c>
      <c r="AE13" s="24">
        <f>IF(Drivers!$B$6=2,Drivers!$B$28*Drivers!$B$29,0)</f>
        <v/>
      </c>
      <c r="AF13" s="24">
        <f>IF(Drivers!$B$6=2,Drivers!$B$28*Drivers!$B$29,0)</f>
        <v/>
      </c>
      <c r="AG13" s="24">
        <f>IF(Drivers!$B$6=2,Drivers!$B$28*Drivers!$B$29,0)</f>
        <v/>
      </c>
      <c r="AH13" s="24">
        <f>IF(Drivers!$B$6=2,Drivers!$B$28*Drivers!$B$29,0)</f>
        <v/>
      </c>
      <c r="AI13" s="24">
        <f>IF(Drivers!$B$6=2,Drivers!$B$28*Drivers!$B$29,0)</f>
        <v/>
      </c>
      <c r="AJ13" s="24">
        <f>IF(Drivers!$B$6=2,Drivers!$B$28*Drivers!$B$29,0)</f>
        <v/>
      </c>
      <c r="AK13" s="24">
        <f>IF(Drivers!$B$6=2,Drivers!$B$28*Drivers!$B$29,0)</f>
        <v/>
      </c>
    </row>
    <row r="14">
      <c r="A14" t="inlineStr">
        <is>
          <t>A100 spot (Scale plan)</t>
        </is>
      </c>
      <c r="B14" s="24">
        <f>IF(Drivers!$B$6=2,Drivers!$B$30*Drivers!$B$31,0)</f>
        <v/>
      </c>
      <c r="C14" s="24">
        <f>IF(Drivers!$B$6=2,Drivers!$B$30*Drivers!$B$31,0)</f>
        <v/>
      </c>
      <c r="D14" s="24">
        <f>IF(Drivers!$B$6=2,Drivers!$B$30*Drivers!$B$31,0)</f>
        <v/>
      </c>
      <c r="E14" s="24">
        <f>IF(Drivers!$B$6=2,Drivers!$B$30*Drivers!$B$31,0)</f>
        <v/>
      </c>
      <c r="F14" s="24">
        <f>IF(Drivers!$B$6=2,Drivers!$B$30*Drivers!$B$31,0)</f>
        <v/>
      </c>
      <c r="G14" s="24">
        <f>IF(Drivers!$B$6=2,Drivers!$B$30*Drivers!$B$31,0)</f>
        <v/>
      </c>
      <c r="H14" s="24">
        <f>IF(Drivers!$B$6=2,Drivers!$B$30*Drivers!$B$31,0)</f>
        <v/>
      </c>
      <c r="I14" s="24">
        <f>IF(Drivers!$B$6=2,Drivers!$B$30*Drivers!$B$31,0)</f>
        <v/>
      </c>
      <c r="J14" s="24">
        <f>IF(Drivers!$B$6=2,Drivers!$B$30*Drivers!$B$31,0)</f>
        <v/>
      </c>
      <c r="K14" s="24">
        <f>IF(Drivers!$B$6=2,Drivers!$B$30*Drivers!$B$31,0)</f>
        <v/>
      </c>
      <c r="L14" s="24">
        <f>IF(Drivers!$B$6=2,Drivers!$B$30*Drivers!$B$31,0)</f>
        <v/>
      </c>
      <c r="M14" s="24">
        <f>IF(Drivers!$B$6=2,Drivers!$B$30*Drivers!$B$31,0)</f>
        <v/>
      </c>
      <c r="N14" s="24">
        <f>IF(Drivers!$B$6=2,Drivers!$B$30*Drivers!$B$31,0)</f>
        <v/>
      </c>
      <c r="O14" s="24">
        <f>IF(Drivers!$B$6=2,Drivers!$B$30*Drivers!$B$31,0)</f>
        <v/>
      </c>
      <c r="P14" s="24">
        <f>IF(Drivers!$B$6=2,Drivers!$B$30*Drivers!$B$31,0)</f>
        <v/>
      </c>
      <c r="Q14" s="24">
        <f>IF(Drivers!$B$6=2,Drivers!$B$30*Drivers!$B$31,0)</f>
        <v/>
      </c>
      <c r="R14" s="24">
        <f>IF(Drivers!$B$6=2,Drivers!$B$30*Drivers!$B$31,0)</f>
        <v/>
      </c>
      <c r="S14" s="24">
        <f>IF(Drivers!$B$6=2,Drivers!$B$30*Drivers!$B$31,0)</f>
        <v/>
      </c>
      <c r="T14" s="24">
        <f>IF(Drivers!$B$6=2,Drivers!$B$30*Drivers!$B$31,0)</f>
        <v/>
      </c>
      <c r="U14" s="24">
        <f>IF(Drivers!$B$6=2,Drivers!$B$30*Drivers!$B$31,0)</f>
        <v/>
      </c>
      <c r="V14" s="24">
        <f>IF(Drivers!$B$6=2,Drivers!$B$30*Drivers!$B$31,0)</f>
        <v/>
      </c>
      <c r="W14" s="24">
        <f>IF(Drivers!$B$6=2,Drivers!$B$30*Drivers!$B$31,0)</f>
        <v/>
      </c>
      <c r="X14" s="24">
        <f>IF(Drivers!$B$6=2,Drivers!$B$30*Drivers!$B$31,0)</f>
        <v/>
      </c>
      <c r="Y14" s="24">
        <f>IF(Drivers!$B$6=2,Drivers!$B$30*Drivers!$B$31,0)</f>
        <v/>
      </c>
      <c r="Z14" s="24">
        <f>IF(Drivers!$B$6=2,Drivers!$B$30*Drivers!$B$31,0)</f>
        <v/>
      </c>
      <c r="AA14" s="24">
        <f>IF(Drivers!$B$6=2,Drivers!$B$30*Drivers!$B$31,0)</f>
        <v/>
      </c>
      <c r="AB14" s="24">
        <f>IF(Drivers!$B$6=2,Drivers!$B$30*Drivers!$B$31,0)</f>
        <v/>
      </c>
      <c r="AC14" s="24">
        <f>IF(Drivers!$B$6=2,Drivers!$B$30*Drivers!$B$31,0)</f>
        <v/>
      </c>
      <c r="AD14" s="24">
        <f>IF(Drivers!$B$6=2,Drivers!$B$30*Drivers!$B$31,0)</f>
        <v/>
      </c>
      <c r="AE14" s="24">
        <f>IF(Drivers!$B$6=2,Drivers!$B$30*Drivers!$B$31,0)</f>
        <v/>
      </c>
      <c r="AF14" s="24">
        <f>IF(Drivers!$B$6=2,Drivers!$B$30*Drivers!$B$31,0)</f>
        <v/>
      </c>
      <c r="AG14" s="24">
        <f>IF(Drivers!$B$6=2,Drivers!$B$30*Drivers!$B$31,0)</f>
        <v/>
      </c>
      <c r="AH14" s="24">
        <f>IF(Drivers!$B$6=2,Drivers!$B$30*Drivers!$B$31,0)</f>
        <v/>
      </c>
      <c r="AI14" s="24">
        <f>IF(Drivers!$B$6=2,Drivers!$B$30*Drivers!$B$31,0)</f>
        <v/>
      </c>
      <c r="AJ14" s="24">
        <f>IF(Drivers!$B$6=2,Drivers!$B$30*Drivers!$B$31,0)</f>
        <v/>
      </c>
      <c r="AK14" s="24">
        <f>IF(Drivers!$B$6=2,Drivers!$B$30*Drivers!$B$31,0)</f>
        <v/>
      </c>
    </row>
    <row r="15">
      <c r="A15" t="inlineStr">
        <is>
          <t>Training storage &amp; transfer</t>
        </is>
      </c>
      <c r="B15" s="24">
        <f>IF(Drivers!$B$6=2,Drivers!$B$33,Drivers!$B$32)</f>
        <v/>
      </c>
      <c r="C15" s="24">
        <f>IF(Drivers!$B$6=2,Drivers!$B$33,Drivers!$B$32)</f>
        <v/>
      </c>
      <c r="D15" s="24">
        <f>IF(Drivers!$B$6=2,Drivers!$B$33,Drivers!$B$32)</f>
        <v/>
      </c>
      <c r="E15" s="24">
        <f>IF(Drivers!$B$6=2,Drivers!$B$33,Drivers!$B$32)</f>
        <v/>
      </c>
      <c r="F15" s="24">
        <f>IF(Drivers!$B$6=2,Drivers!$B$33,Drivers!$B$32)</f>
        <v/>
      </c>
      <c r="G15" s="24">
        <f>IF(Drivers!$B$6=2,Drivers!$B$33,Drivers!$B$32)</f>
        <v/>
      </c>
      <c r="H15" s="24">
        <f>IF(Drivers!$B$6=2,Drivers!$B$33,Drivers!$B$32)</f>
        <v/>
      </c>
      <c r="I15" s="24">
        <f>IF(Drivers!$B$6=2,Drivers!$B$33,Drivers!$B$32)</f>
        <v/>
      </c>
      <c r="J15" s="24">
        <f>IF(Drivers!$B$6=2,Drivers!$B$33,Drivers!$B$32)</f>
        <v/>
      </c>
      <c r="K15" s="24">
        <f>IF(Drivers!$B$6=2,Drivers!$B$33,Drivers!$B$32)</f>
        <v/>
      </c>
      <c r="L15" s="24">
        <f>IF(Drivers!$B$6=2,Drivers!$B$33,Drivers!$B$32)</f>
        <v/>
      </c>
      <c r="M15" s="24">
        <f>IF(Drivers!$B$6=2,Drivers!$B$33,Drivers!$B$32)</f>
        <v/>
      </c>
      <c r="N15" s="24">
        <f>IF(Drivers!$B$6=2,Drivers!$B$33,Drivers!$B$32)</f>
        <v/>
      </c>
      <c r="O15" s="24">
        <f>IF(Drivers!$B$6=2,Drivers!$B$33,Drivers!$B$32)</f>
        <v/>
      </c>
      <c r="P15" s="24">
        <f>IF(Drivers!$B$6=2,Drivers!$B$33,Drivers!$B$32)</f>
        <v/>
      </c>
      <c r="Q15" s="24">
        <f>IF(Drivers!$B$6=2,Drivers!$B$33,Drivers!$B$32)</f>
        <v/>
      </c>
      <c r="R15" s="24">
        <f>IF(Drivers!$B$6=2,Drivers!$B$33,Drivers!$B$32)</f>
        <v/>
      </c>
      <c r="S15" s="24">
        <f>IF(Drivers!$B$6=2,Drivers!$B$33,Drivers!$B$32)</f>
        <v/>
      </c>
      <c r="T15" s="24">
        <f>IF(Drivers!$B$6=2,Drivers!$B$33,Drivers!$B$32)</f>
        <v/>
      </c>
      <c r="U15" s="24">
        <f>IF(Drivers!$B$6=2,Drivers!$B$33,Drivers!$B$32)</f>
        <v/>
      </c>
      <c r="V15" s="24">
        <f>IF(Drivers!$B$6=2,Drivers!$B$33,Drivers!$B$32)</f>
        <v/>
      </c>
      <c r="W15" s="24">
        <f>IF(Drivers!$B$6=2,Drivers!$B$33,Drivers!$B$32)</f>
        <v/>
      </c>
      <c r="X15" s="24">
        <f>IF(Drivers!$B$6=2,Drivers!$B$33,Drivers!$B$32)</f>
        <v/>
      </c>
      <c r="Y15" s="24">
        <f>IF(Drivers!$B$6=2,Drivers!$B$33,Drivers!$B$32)</f>
        <v/>
      </c>
      <c r="Z15" s="24">
        <f>IF(Drivers!$B$6=2,Drivers!$B$33,Drivers!$B$32)</f>
        <v/>
      </c>
      <c r="AA15" s="24">
        <f>IF(Drivers!$B$6=2,Drivers!$B$33,Drivers!$B$32)</f>
        <v/>
      </c>
      <c r="AB15" s="24">
        <f>IF(Drivers!$B$6=2,Drivers!$B$33,Drivers!$B$32)</f>
        <v/>
      </c>
      <c r="AC15" s="24">
        <f>IF(Drivers!$B$6=2,Drivers!$B$33,Drivers!$B$32)</f>
        <v/>
      </c>
      <c r="AD15" s="24">
        <f>IF(Drivers!$B$6=2,Drivers!$B$33,Drivers!$B$32)</f>
        <v/>
      </c>
      <c r="AE15" s="24">
        <f>IF(Drivers!$B$6=2,Drivers!$B$33,Drivers!$B$32)</f>
        <v/>
      </c>
      <c r="AF15" s="24">
        <f>IF(Drivers!$B$6=2,Drivers!$B$33,Drivers!$B$32)</f>
        <v/>
      </c>
      <c r="AG15" s="24">
        <f>IF(Drivers!$B$6=2,Drivers!$B$33,Drivers!$B$32)</f>
        <v/>
      </c>
      <c r="AH15" s="24">
        <f>IF(Drivers!$B$6=2,Drivers!$B$33,Drivers!$B$32)</f>
        <v/>
      </c>
      <c r="AI15" s="24">
        <f>IF(Drivers!$B$6=2,Drivers!$B$33,Drivers!$B$32)</f>
        <v/>
      </c>
      <c r="AJ15" s="24">
        <f>IF(Drivers!$B$6=2,Drivers!$B$33,Drivers!$B$32)</f>
        <v/>
      </c>
      <c r="AK15" s="24">
        <f>IF(Drivers!$B$6=2,Drivers!$B$33,Drivers!$B$32)</f>
        <v/>
      </c>
    </row>
    <row r="16">
      <c r="A16" t="inlineStr">
        <is>
          <t>ML contractor (Scale plan)</t>
        </is>
      </c>
      <c r="B16" s="24">
        <f>IF(Drivers!$B$6=2,Drivers!$B$45,0)</f>
        <v/>
      </c>
      <c r="C16" s="24">
        <f>IF(Drivers!$B$6=2,Drivers!$B$45,0)</f>
        <v/>
      </c>
      <c r="D16" s="24">
        <f>IF(Drivers!$B$6=2,Drivers!$B$45,0)</f>
        <v/>
      </c>
      <c r="E16" s="24">
        <f>IF(Drivers!$B$6=2,Drivers!$B$45,0)</f>
        <v/>
      </c>
      <c r="F16" s="24">
        <f>IF(Drivers!$B$6=2,Drivers!$B$45,0)</f>
        <v/>
      </c>
      <c r="G16" s="24">
        <f>IF(Drivers!$B$6=2,Drivers!$B$45,0)</f>
        <v/>
      </c>
      <c r="H16" s="24">
        <f>IF(Drivers!$B$6=2,Drivers!$B$45,0)</f>
        <v/>
      </c>
      <c r="I16" s="24">
        <f>IF(Drivers!$B$6=2,Drivers!$B$45,0)</f>
        <v/>
      </c>
      <c r="J16" s="24">
        <f>IF(Drivers!$B$6=2,Drivers!$B$45,0)</f>
        <v/>
      </c>
      <c r="K16" s="24">
        <f>IF(Drivers!$B$6=2,Drivers!$B$45,0)</f>
        <v/>
      </c>
      <c r="L16" s="24">
        <f>IF(Drivers!$B$6=2,Drivers!$B$45,0)</f>
        <v/>
      </c>
      <c r="M16" s="24">
        <f>IF(Drivers!$B$6=2,Drivers!$B$45,0)</f>
        <v/>
      </c>
      <c r="N16" s="24">
        <f>IF(Drivers!$B$6=2,Drivers!$B$45,0)</f>
        <v/>
      </c>
      <c r="O16" s="24">
        <f>IF(Drivers!$B$6=2,Drivers!$B$45,0)</f>
        <v/>
      </c>
      <c r="P16" s="24">
        <f>IF(Drivers!$B$6=2,Drivers!$B$45,0)</f>
        <v/>
      </c>
      <c r="Q16" s="24">
        <f>IF(Drivers!$B$6=2,Drivers!$B$45,0)</f>
        <v/>
      </c>
      <c r="R16" s="24">
        <f>IF(Drivers!$B$6=2,Drivers!$B$45,0)</f>
        <v/>
      </c>
      <c r="S16" s="24">
        <f>IF(Drivers!$B$6=2,Drivers!$B$45,0)</f>
        <v/>
      </c>
      <c r="T16" s="24">
        <f>IF(Drivers!$B$6=2,Drivers!$B$45,0)</f>
        <v/>
      </c>
      <c r="U16" s="24">
        <f>IF(Drivers!$B$6=2,Drivers!$B$45,0)</f>
        <v/>
      </c>
      <c r="V16" s="24">
        <f>IF(Drivers!$B$6=2,Drivers!$B$45,0)</f>
        <v/>
      </c>
      <c r="W16" s="24">
        <f>IF(Drivers!$B$6=2,Drivers!$B$45,0)</f>
        <v/>
      </c>
      <c r="X16" s="24">
        <f>IF(Drivers!$B$6=2,Drivers!$B$45,0)</f>
        <v/>
      </c>
      <c r="Y16" s="24">
        <f>IF(Drivers!$B$6=2,Drivers!$B$45,0)</f>
        <v/>
      </c>
      <c r="Z16" s="24">
        <f>IF(Drivers!$B$6=2,Drivers!$B$45,0)</f>
        <v/>
      </c>
      <c r="AA16" s="24">
        <f>IF(Drivers!$B$6=2,Drivers!$B$45,0)</f>
        <v/>
      </c>
      <c r="AB16" s="24">
        <f>IF(Drivers!$B$6=2,Drivers!$B$45,0)</f>
        <v/>
      </c>
      <c r="AC16" s="24">
        <f>IF(Drivers!$B$6=2,Drivers!$B$45,0)</f>
        <v/>
      </c>
      <c r="AD16" s="24">
        <f>IF(Drivers!$B$6=2,Drivers!$B$45,0)</f>
        <v/>
      </c>
      <c r="AE16" s="24">
        <f>IF(Drivers!$B$6=2,Drivers!$B$45,0)</f>
        <v/>
      </c>
      <c r="AF16" s="24">
        <f>IF(Drivers!$B$6=2,Drivers!$B$45,0)</f>
        <v/>
      </c>
      <c r="AG16" s="24">
        <f>IF(Drivers!$B$6=2,Drivers!$B$45,0)</f>
        <v/>
      </c>
      <c r="AH16" s="24">
        <f>IF(Drivers!$B$6=2,Drivers!$B$45,0)</f>
        <v/>
      </c>
      <c r="AI16" s="24">
        <f>IF(Drivers!$B$6=2,Drivers!$B$45,0)</f>
        <v/>
      </c>
      <c r="AJ16" s="24">
        <f>IF(Drivers!$B$6=2,Drivers!$B$45,0)</f>
        <v/>
      </c>
      <c r="AK16" s="24">
        <f>IF(Drivers!$B$6=2,Drivers!$B$45,0)</f>
        <v/>
      </c>
    </row>
    <row r="17">
      <c r="A17" s="25" t="inlineStr">
        <is>
          <t>Total R&amp;D</t>
        </is>
      </c>
      <c r="B17" s="26">
        <f>SUM(B11:B16)</f>
        <v/>
      </c>
      <c r="C17" s="26">
        <f>SUM(C11:C16)</f>
        <v/>
      </c>
      <c r="D17" s="26">
        <f>SUM(D11:D16)</f>
        <v/>
      </c>
      <c r="E17" s="26">
        <f>SUM(E11:E16)</f>
        <v/>
      </c>
      <c r="F17" s="26">
        <f>SUM(F11:F16)</f>
        <v/>
      </c>
      <c r="G17" s="26">
        <f>SUM(G11:G16)</f>
        <v/>
      </c>
      <c r="H17" s="26">
        <f>SUM(H11:H16)</f>
        <v/>
      </c>
      <c r="I17" s="26">
        <f>SUM(I11:I16)</f>
        <v/>
      </c>
      <c r="J17" s="26">
        <f>SUM(J11:J16)</f>
        <v/>
      </c>
      <c r="K17" s="26">
        <f>SUM(K11:K16)</f>
        <v/>
      </c>
      <c r="L17" s="26">
        <f>SUM(L11:L16)</f>
        <v/>
      </c>
      <c r="M17" s="26">
        <f>SUM(M11:M16)</f>
        <v/>
      </c>
      <c r="N17" s="26">
        <f>SUM(N11:N16)</f>
        <v/>
      </c>
      <c r="O17" s="26">
        <f>SUM(O11:O16)</f>
        <v/>
      </c>
      <c r="P17" s="26">
        <f>SUM(P11:P16)</f>
        <v/>
      </c>
      <c r="Q17" s="26">
        <f>SUM(Q11:Q16)</f>
        <v/>
      </c>
      <c r="R17" s="26">
        <f>SUM(R11:R16)</f>
        <v/>
      </c>
      <c r="S17" s="26">
        <f>SUM(S11:S16)</f>
        <v/>
      </c>
      <c r="T17" s="26">
        <f>SUM(T11:T16)</f>
        <v/>
      </c>
      <c r="U17" s="26">
        <f>SUM(U11:U16)</f>
        <v/>
      </c>
      <c r="V17" s="26">
        <f>SUM(V11:V16)</f>
        <v/>
      </c>
      <c r="W17" s="26">
        <f>SUM(W11:W16)</f>
        <v/>
      </c>
      <c r="X17" s="26">
        <f>SUM(X11:X16)</f>
        <v/>
      </c>
      <c r="Y17" s="26">
        <f>SUM(Y11:Y16)</f>
        <v/>
      </c>
      <c r="Z17" s="26">
        <f>SUM(Z11:Z16)</f>
        <v/>
      </c>
      <c r="AA17" s="26">
        <f>SUM(AA11:AA16)</f>
        <v/>
      </c>
      <c r="AB17" s="26">
        <f>SUM(AB11:AB16)</f>
        <v/>
      </c>
      <c r="AC17" s="26">
        <f>SUM(AC11:AC16)</f>
        <v/>
      </c>
      <c r="AD17" s="26">
        <f>SUM(AD11:AD16)</f>
        <v/>
      </c>
      <c r="AE17" s="26">
        <f>SUM(AE11:AE16)</f>
        <v/>
      </c>
      <c r="AF17" s="26">
        <f>SUM(AF11:AF16)</f>
        <v/>
      </c>
      <c r="AG17" s="26">
        <f>SUM(AG11:AG16)</f>
        <v/>
      </c>
      <c r="AH17" s="26">
        <f>SUM(AH11:AH16)</f>
        <v/>
      </c>
      <c r="AI17" s="26">
        <f>SUM(AI11:AI16)</f>
        <v/>
      </c>
      <c r="AJ17" s="26">
        <f>SUM(AJ11:AJ16)</f>
        <v/>
      </c>
      <c r="AK17" s="26">
        <f>SUM(AK11:AK16)</f>
        <v/>
      </c>
    </row>
    <row r="18">
      <c r="A18" s="9" t="inlineStr">
        <is>
          <t>S&amp;M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</row>
    <row r="19">
      <c r="A19" t="inlineStr">
        <is>
          <t>Marketing</t>
        </is>
      </c>
      <c r="B19" s="24">
        <f>IF(Drivers!$B$6=2,Drivers!$B$51,Drivers!$B$50)</f>
        <v/>
      </c>
      <c r="C19" s="24">
        <f>IF(Drivers!$B$6=2,Drivers!$B$51,Drivers!$B$50)</f>
        <v/>
      </c>
      <c r="D19" s="24">
        <f>IF(Drivers!$B$6=2,Drivers!$B$51,Drivers!$B$50)</f>
        <v/>
      </c>
      <c r="E19" s="24">
        <f>IF(Drivers!$B$6=2,Drivers!$B$51,Drivers!$B$50)</f>
        <v/>
      </c>
      <c r="F19" s="24">
        <f>IF(Drivers!$B$6=2,Drivers!$B$51,Drivers!$B$50)</f>
        <v/>
      </c>
      <c r="G19" s="24">
        <f>IF(Drivers!$B$6=2,Drivers!$B$51,Drivers!$B$50)</f>
        <v/>
      </c>
      <c r="H19" s="24">
        <f>IF(Drivers!$B$6=2,Drivers!$B$51,Drivers!$B$50)</f>
        <v/>
      </c>
      <c r="I19" s="24">
        <f>IF(Drivers!$B$6=2,Drivers!$B$51,Drivers!$B$50)</f>
        <v/>
      </c>
      <c r="J19" s="24">
        <f>IF(Drivers!$B$6=2,Drivers!$B$51,Drivers!$B$50)</f>
        <v/>
      </c>
      <c r="K19" s="24">
        <f>IF(Drivers!$B$6=2,Drivers!$B$51,Drivers!$B$50)</f>
        <v/>
      </c>
      <c r="L19" s="24">
        <f>IF(Drivers!$B$6=2,Drivers!$B$51,Drivers!$B$50)</f>
        <v/>
      </c>
      <c r="M19" s="24">
        <f>IF(Drivers!$B$6=2,Drivers!$B$51,Drivers!$B$50)</f>
        <v/>
      </c>
      <c r="N19" s="24">
        <f>IF(Drivers!$B$6=2,Drivers!$B$51,Drivers!$B$50)</f>
        <v/>
      </c>
      <c r="O19" s="24">
        <f>IF(Drivers!$B$6=2,Drivers!$B$51,Drivers!$B$50)</f>
        <v/>
      </c>
      <c r="P19" s="24">
        <f>IF(Drivers!$B$6=2,Drivers!$B$51,Drivers!$B$50)</f>
        <v/>
      </c>
      <c r="Q19" s="24">
        <f>IF(Drivers!$B$6=2,Drivers!$B$51,Drivers!$B$50)</f>
        <v/>
      </c>
      <c r="R19" s="24">
        <f>IF(Drivers!$B$6=2,Drivers!$B$51,Drivers!$B$50)</f>
        <v/>
      </c>
      <c r="S19" s="24">
        <f>IF(Drivers!$B$6=2,Drivers!$B$51,Drivers!$B$50)</f>
        <v/>
      </c>
      <c r="T19" s="24">
        <f>IF(Drivers!$B$6=2,Drivers!$B$51,Drivers!$B$50)</f>
        <v/>
      </c>
      <c r="U19" s="24">
        <f>IF(Drivers!$B$6=2,Drivers!$B$51,Drivers!$B$50)</f>
        <v/>
      </c>
      <c r="V19" s="24">
        <f>IF(Drivers!$B$6=2,Drivers!$B$51,Drivers!$B$50)</f>
        <v/>
      </c>
      <c r="W19" s="24">
        <f>IF(Drivers!$B$6=2,Drivers!$B$51,Drivers!$B$50)</f>
        <v/>
      </c>
      <c r="X19" s="24">
        <f>IF(Drivers!$B$6=2,Drivers!$B$51,Drivers!$B$50)</f>
        <v/>
      </c>
      <c r="Y19" s="24">
        <f>IF(Drivers!$B$6=2,Drivers!$B$51,Drivers!$B$50)</f>
        <v/>
      </c>
      <c r="Z19" s="24">
        <f>IF(Drivers!$B$6=2,Drivers!$B$51,Drivers!$B$50)</f>
        <v/>
      </c>
      <c r="AA19" s="24">
        <f>IF(Drivers!$B$6=2,Drivers!$B$51,Drivers!$B$50)</f>
        <v/>
      </c>
      <c r="AB19" s="24">
        <f>IF(Drivers!$B$6=2,Drivers!$B$51,Drivers!$B$50)</f>
        <v/>
      </c>
      <c r="AC19" s="24">
        <f>IF(Drivers!$B$6=2,Drivers!$B$51,Drivers!$B$50)</f>
        <v/>
      </c>
      <c r="AD19" s="24">
        <f>IF(Drivers!$B$6=2,Drivers!$B$51,Drivers!$B$50)</f>
        <v/>
      </c>
      <c r="AE19" s="24">
        <f>IF(Drivers!$B$6=2,Drivers!$B$51,Drivers!$B$50)</f>
        <v/>
      </c>
      <c r="AF19" s="24">
        <f>IF(Drivers!$B$6=2,Drivers!$B$51,Drivers!$B$50)</f>
        <v/>
      </c>
      <c r="AG19" s="24">
        <f>IF(Drivers!$B$6=2,Drivers!$B$51,Drivers!$B$50)</f>
        <v/>
      </c>
      <c r="AH19" s="24">
        <f>IF(Drivers!$B$6=2,Drivers!$B$51,Drivers!$B$50)</f>
        <v/>
      </c>
      <c r="AI19" s="24">
        <f>IF(Drivers!$B$6=2,Drivers!$B$51,Drivers!$B$50)</f>
        <v/>
      </c>
      <c r="AJ19" s="24">
        <f>IF(Drivers!$B$6=2,Drivers!$B$51,Drivers!$B$50)</f>
        <v/>
      </c>
      <c r="AK19" s="24">
        <f>IF(Drivers!$B$6=2,Drivers!$B$51,Drivers!$B$50)</f>
        <v/>
      </c>
    </row>
    <row r="20">
      <c r="A20" s="25" t="inlineStr">
        <is>
          <t>Total S&amp;M</t>
        </is>
      </c>
      <c r="B20" s="26">
        <f>B19</f>
        <v/>
      </c>
      <c r="C20" s="26">
        <f>C19</f>
        <v/>
      </c>
      <c r="D20" s="26">
        <f>D19</f>
        <v/>
      </c>
      <c r="E20" s="26">
        <f>E19</f>
        <v/>
      </c>
      <c r="F20" s="26">
        <f>F19</f>
        <v/>
      </c>
      <c r="G20" s="26">
        <f>G19</f>
        <v/>
      </c>
      <c r="H20" s="26">
        <f>H19</f>
        <v/>
      </c>
      <c r="I20" s="26">
        <f>I19</f>
        <v/>
      </c>
      <c r="J20" s="26">
        <f>J19</f>
        <v/>
      </c>
      <c r="K20" s="26">
        <f>K19</f>
        <v/>
      </c>
      <c r="L20" s="26">
        <f>L19</f>
        <v/>
      </c>
      <c r="M20" s="26">
        <f>M19</f>
        <v/>
      </c>
      <c r="N20" s="26">
        <f>N19</f>
        <v/>
      </c>
      <c r="O20" s="26">
        <f>O19</f>
        <v/>
      </c>
      <c r="P20" s="26">
        <f>P19</f>
        <v/>
      </c>
      <c r="Q20" s="26">
        <f>Q19</f>
        <v/>
      </c>
      <c r="R20" s="26">
        <f>R19</f>
        <v/>
      </c>
      <c r="S20" s="26">
        <f>S19</f>
        <v/>
      </c>
      <c r="T20" s="26">
        <f>T19</f>
        <v/>
      </c>
      <c r="U20" s="26">
        <f>U19</f>
        <v/>
      </c>
      <c r="V20" s="26">
        <f>V19</f>
        <v/>
      </c>
      <c r="W20" s="26">
        <f>W19</f>
        <v/>
      </c>
      <c r="X20" s="26">
        <f>X19</f>
        <v/>
      </c>
      <c r="Y20" s="26">
        <f>Y19</f>
        <v/>
      </c>
      <c r="Z20" s="26">
        <f>Z19</f>
        <v/>
      </c>
      <c r="AA20" s="26">
        <f>AA19</f>
        <v/>
      </c>
      <c r="AB20" s="26">
        <f>AB19</f>
        <v/>
      </c>
      <c r="AC20" s="26">
        <f>AC19</f>
        <v/>
      </c>
      <c r="AD20" s="26">
        <f>AD19</f>
        <v/>
      </c>
      <c r="AE20" s="26">
        <f>AE19</f>
        <v/>
      </c>
      <c r="AF20" s="26">
        <f>AF19</f>
        <v/>
      </c>
      <c r="AG20" s="26">
        <f>AG19</f>
        <v/>
      </c>
      <c r="AH20" s="26">
        <f>AH19</f>
        <v/>
      </c>
      <c r="AI20" s="26">
        <f>AI19</f>
        <v/>
      </c>
      <c r="AJ20" s="26">
        <f>AJ19</f>
        <v/>
      </c>
      <c r="AK20" s="26">
        <f>AK19</f>
        <v/>
      </c>
    </row>
    <row r="21">
      <c r="A21" s="9" t="inlineStr">
        <is>
          <t>G&amp;A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>
      <c r="A22" t="inlineStr">
        <is>
          <t>Founder salary + payroll tax</t>
        </is>
      </c>
      <c r="B22" s="24">
        <f>Drivers!$B$43/12*(1+Drivers!$B$44)</f>
        <v/>
      </c>
      <c r="C22" s="24">
        <f>Drivers!$B$43/12*(1+Drivers!$B$44)</f>
        <v/>
      </c>
      <c r="D22" s="24">
        <f>Drivers!$B$43/12*(1+Drivers!$B$44)</f>
        <v/>
      </c>
      <c r="E22" s="24">
        <f>Drivers!$B$43/12*(1+Drivers!$B$44)</f>
        <v/>
      </c>
      <c r="F22" s="24">
        <f>Drivers!$B$43/12*(1+Drivers!$B$44)</f>
        <v/>
      </c>
      <c r="G22" s="24">
        <f>Drivers!$B$43/12*(1+Drivers!$B$44)</f>
        <v/>
      </c>
      <c r="H22" s="24">
        <f>Drivers!$B$43/12*(1+Drivers!$B$44)</f>
        <v/>
      </c>
      <c r="I22" s="24">
        <f>Drivers!$B$43/12*(1+Drivers!$B$44)</f>
        <v/>
      </c>
      <c r="J22" s="24">
        <f>Drivers!$B$43/12*(1+Drivers!$B$44)</f>
        <v/>
      </c>
      <c r="K22" s="24">
        <f>Drivers!$B$43/12*(1+Drivers!$B$44)</f>
        <v/>
      </c>
      <c r="L22" s="24">
        <f>Drivers!$B$43/12*(1+Drivers!$B$44)</f>
        <v/>
      </c>
      <c r="M22" s="24">
        <f>Drivers!$B$43/12*(1+Drivers!$B$44)</f>
        <v/>
      </c>
      <c r="N22" s="24">
        <f>Drivers!$B$43/12*(1+Drivers!$B$44)</f>
        <v/>
      </c>
      <c r="O22" s="24">
        <f>Drivers!$B$43/12*(1+Drivers!$B$44)</f>
        <v/>
      </c>
      <c r="P22" s="24">
        <f>Drivers!$B$43/12*(1+Drivers!$B$44)</f>
        <v/>
      </c>
      <c r="Q22" s="24">
        <f>Drivers!$B$43/12*(1+Drivers!$B$44)</f>
        <v/>
      </c>
      <c r="R22" s="24">
        <f>Drivers!$B$43/12*(1+Drivers!$B$44)</f>
        <v/>
      </c>
      <c r="S22" s="24">
        <f>Drivers!$B$43/12*(1+Drivers!$B$44)</f>
        <v/>
      </c>
      <c r="T22" s="24">
        <f>Drivers!$B$43/12*(1+Drivers!$B$44)</f>
        <v/>
      </c>
      <c r="U22" s="24">
        <f>Drivers!$B$43/12*(1+Drivers!$B$44)</f>
        <v/>
      </c>
      <c r="V22" s="24">
        <f>Drivers!$B$43/12*(1+Drivers!$B$44)</f>
        <v/>
      </c>
      <c r="W22" s="24">
        <f>Drivers!$B$43/12*(1+Drivers!$B$44)</f>
        <v/>
      </c>
      <c r="X22" s="24">
        <f>Drivers!$B$43/12*(1+Drivers!$B$44)</f>
        <v/>
      </c>
      <c r="Y22" s="24">
        <f>Drivers!$B$43/12*(1+Drivers!$B$44)</f>
        <v/>
      </c>
      <c r="Z22" s="24">
        <f>Drivers!$B$43/12*(1+Drivers!$B$44)</f>
        <v/>
      </c>
      <c r="AA22" s="24">
        <f>Drivers!$B$43/12*(1+Drivers!$B$44)</f>
        <v/>
      </c>
      <c r="AB22" s="24">
        <f>Drivers!$B$43/12*(1+Drivers!$B$44)</f>
        <v/>
      </c>
      <c r="AC22" s="24">
        <f>Drivers!$B$43/12*(1+Drivers!$B$44)</f>
        <v/>
      </c>
      <c r="AD22" s="24">
        <f>Drivers!$B$43/12*(1+Drivers!$B$44)</f>
        <v/>
      </c>
      <c r="AE22" s="24">
        <f>Drivers!$B$43/12*(1+Drivers!$B$44)</f>
        <v/>
      </c>
      <c r="AF22" s="24">
        <f>Drivers!$B$43/12*(1+Drivers!$B$44)</f>
        <v/>
      </c>
      <c r="AG22" s="24">
        <f>Drivers!$B$43/12*(1+Drivers!$B$44)</f>
        <v/>
      </c>
      <c r="AH22" s="24">
        <f>Drivers!$B$43/12*(1+Drivers!$B$44)</f>
        <v/>
      </c>
      <c r="AI22" s="24">
        <f>Drivers!$B$43/12*(1+Drivers!$B$44)</f>
        <v/>
      </c>
      <c r="AJ22" s="24">
        <f>Drivers!$B$43/12*(1+Drivers!$B$44)</f>
        <v/>
      </c>
      <c r="AK22" s="24">
        <f>Drivers!$B$43/12*(1+Drivers!$B$44)</f>
        <v/>
      </c>
    </row>
    <row r="23">
      <c r="A23" t="inlineStr">
        <is>
          <t>Bookkeeping</t>
        </is>
      </c>
      <c r="B23" s="24">
        <f>Drivers!$B$46</f>
        <v/>
      </c>
      <c r="C23" s="24">
        <f>Drivers!$B$46</f>
        <v/>
      </c>
      <c r="D23" s="24">
        <f>Drivers!$B$46</f>
        <v/>
      </c>
      <c r="E23" s="24">
        <f>Drivers!$B$46</f>
        <v/>
      </c>
      <c r="F23" s="24">
        <f>Drivers!$B$46</f>
        <v/>
      </c>
      <c r="G23" s="24">
        <f>Drivers!$B$46</f>
        <v/>
      </c>
      <c r="H23" s="24">
        <f>Drivers!$B$46</f>
        <v/>
      </c>
      <c r="I23" s="24">
        <f>Drivers!$B$46</f>
        <v/>
      </c>
      <c r="J23" s="24">
        <f>Drivers!$B$46</f>
        <v/>
      </c>
      <c r="K23" s="24">
        <f>Drivers!$B$46</f>
        <v/>
      </c>
      <c r="L23" s="24">
        <f>Drivers!$B$46</f>
        <v/>
      </c>
      <c r="M23" s="24">
        <f>Drivers!$B$46</f>
        <v/>
      </c>
      <c r="N23" s="24">
        <f>Drivers!$B$46</f>
        <v/>
      </c>
      <c r="O23" s="24">
        <f>Drivers!$B$46</f>
        <v/>
      </c>
      <c r="P23" s="24">
        <f>Drivers!$B$46</f>
        <v/>
      </c>
      <c r="Q23" s="24">
        <f>Drivers!$B$46</f>
        <v/>
      </c>
      <c r="R23" s="24">
        <f>Drivers!$B$46</f>
        <v/>
      </c>
      <c r="S23" s="24">
        <f>Drivers!$B$46</f>
        <v/>
      </c>
      <c r="T23" s="24">
        <f>Drivers!$B$46</f>
        <v/>
      </c>
      <c r="U23" s="24">
        <f>Drivers!$B$46</f>
        <v/>
      </c>
      <c r="V23" s="24">
        <f>Drivers!$B$46</f>
        <v/>
      </c>
      <c r="W23" s="24">
        <f>Drivers!$B$46</f>
        <v/>
      </c>
      <c r="X23" s="24">
        <f>Drivers!$B$46</f>
        <v/>
      </c>
      <c r="Y23" s="24">
        <f>Drivers!$B$46</f>
        <v/>
      </c>
      <c r="Z23" s="24">
        <f>Drivers!$B$46</f>
        <v/>
      </c>
      <c r="AA23" s="24">
        <f>Drivers!$B$46</f>
        <v/>
      </c>
      <c r="AB23" s="24">
        <f>Drivers!$B$46</f>
        <v/>
      </c>
      <c r="AC23" s="24">
        <f>Drivers!$B$46</f>
        <v/>
      </c>
      <c r="AD23" s="24">
        <f>Drivers!$B$46</f>
        <v/>
      </c>
      <c r="AE23" s="24">
        <f>Drivers!$B$46</f>
        <v/>
      </c>
      <c r="AF23" s="24">
        <f>Drivers!$B$46</f>
        <v/>
      </c>
      <c r="AG23" s="24">
        <f>Drivers!$B$46</f>
        <v/>
      </c>
      <c r="AH23" s="24">
        <f>Drivers!$B$46</f>
        <v/>
      </c>
      <c r="AI23" s="24">
        <f>Drivers!$B$46</f>
        <v/>
      </c>
      <c r="AJ23" s="24">
        <f>Drivers!$B$46</f>
        <v/>
      </c>
      <c r="AK23" s="24">
        <f>Drivers!$B$46</f>
        <v/>
      </c>
    </row>
    <row r="24">
      <c r="A24" t="inlineStr">
        <is>
          <t>Insurance</t>
        </is>
      </c>
      <c r="B24" s="24">
        <f>Drivers!$B$47</f>
        <v/>
      </c>
      <c r="C24" s="24">
        <f>Drivers!$B$47</f>
        <v/>
      </c>
      <c r="D24" s="24">
        <f>Drivers!$B$47</f>
        <v/>
      </c>
      <c r="E24" s="24">
        <f>Drivers!$B$47</f>
        <v/>
      </c>
      <c r="F24" s="24">
        <f>Drivers!$B$47</f>
        <v/>
      </c>
      <c r="G24" s="24">
        <f>Drivers!$B$47</f>
        <v/>
      </c>
      <c r="H24" s="24">
        <f>Drivers!$B$47</f>
        <v/>
      </c>
      <c r="I24" s="24">
        <f>Drivers!$B$47</f>
        <v/>
      </c>
      <c r="J24" s="24">
        <f>Drivers!$B$47</f>
        <v/>
      </c>
      <c r="K24" s="24">
        <f>Drivers!$B$47</f>
        <v/>
      </c>
      <c r="L24" s="24">
        <f>Drivers!$B$47</f>
        <v/>
      </c>
      <c r="M24" s="24">
        <f>Drivers!$B$47</f>
        <v/>
      </c>
      <c r="N24" s="24">
        <f>Drivers!$B$47</f>
        <v/>
      </c>
      <c r="O24" s="24">
        <f>Drivers!$B$47</f>
        <v/>
      </c>
      <c r="P24" s="24">
        <f>Drivers!$B$47</f>
        <v/>
      </c>
      <c r="Q24" s="24">
        <f>Drivers!$B$47</f>
        <v/>
      </c>
      <c r="R24" s="24">
        <f>Drivers!$B$47</f>
        <v/>
      </c>
      <c r="S24" s="24">
        <f>Drivers!$B$47</f>
        <v/>
      </c>
      <c r="T24" s="24">
        <f>Drivers!$B$47</f>
        <v/>
      </c>
      <c r="U24" s="24">
        <f>Drivers!$B$47</f>
        <v/>
      </c>
      <c r="V24" s="24">
        <f>Drivers!$B$47</f>
        <v/>
      </c>
      <c r="W24" s="24">
        <f>Drivers!$B$47</f>
        <v/>
      </c>
      <c r="X24" s="24">
        <f>Drivers!$B$47</f>
        <v/>
      </c>
      <c r="Y24" s="24">
        <f>Drivers!$B$47</f>
        <v/>
      </c>
      <c r="Z24" s="24">
        <f>Drivers!$B$47</f>
        <v/>
      </c>
      <c r="AA24" s="24">
        <f>Drivers!$B$47</f>
        <v/>
      </c>
      <c r="AB24" s="24">
        <f>Drivers!$B$47</f>
        <v/>
      </c>
      <c r="AC24" s="24">
        <f>Drivers!$B$47</f>
        <v/>
      </c>
      <c r="AD24" s="24">
        <f>Drivers!$B$47</f>
        <v/>
      </c>
      <c r="AE24" s="24">
        <f>Drivers!$B$47</f>
        <v/>
      </c>
      <c r="AF24" s="24">
        <f>Drivers!$B$47</f>
        <v/>
      </c>
      <c r="AG24" s="24">
        <f>Drivers!$B$47</f>
        <v/>
      </c>
      <c r="AH24" s="24">
        <f>Drivers!$B$47</f>
        <v/>
      </c>
      <c r="AI24" s="24">
        <f>Drivers!$B$47</f>
        <v/>
      </c>
      <c r="AJ24" s="24">
        <f>Drivers!$B$47</f>
        <v/>
      </c>
      <c r="AK24" s="24">
        <f>Drivers!$B$47</f>
        <v/>
      </c>
    </row>
    <row r="25">
      <c r="A25" t="inlineStr">
        <is>
          <t>Compliance (amortized)</t>
        </is>
      </c>
      <c r="B25" s="24">
        <f>Drivers!$B$48</f>
        <v/>
      </c>
      <c r="C25" s="24">
        <f>Drivers!$B$48</f>
        <v/>
      </c>
      <c r="D25" s="24">
        <f>Drivers!$B$48</f>
        <v/>
      </c>
      <c r="E25" s="24">
        <f>Drivers!$B$48</f>
        <v/>
      </c>
      <c r="F25" s="24">
        <f>Drivers!$B$48</f>
        <v/>
      </c>
      <c r="G25" s="24">
        <f>Drivers!$B$48</f>
        <v/>
      </c>
      <c r="H25" s="24">
        <f>Drivers!$B$48</f>
        <v/>
      </c>
      <c r="I25" s="24">
        <f>Drivers!$B$48</f>
        <v/>
      </c>
      <c r="J25" s="24">
        <f>Drivers!$B$48</f>
        <v/>
      </c>
      <c r="K25" s="24">
        <f>Drivers!$B$48</f>
        <v/>
      </c>
      <c r="L25" s="24">
        <f>Drivers!$B$48</f>
        <v/>
      </c>
      <c r="M25" s="24">
        <f>Drivers!$B$48</f>
        <v/>
      </c>
      <c r="N25" s="24">
        <f>Drivers!$B$48</f>
        <v/>
      </c>
      <c r="O25" s="24">
        <f>Drivers!$B$48</f>
        <v/>
      </c>
      <c r="P25" s="24">
        <f>Drivers!$B$48</f>
        <v/>
      </c>
      <c r="Q25" s="24">
        <f>Drivers!$B$48</f>
        <v/>
      </c>
      <c r="R25" s="24">
        <f>Drivers!$B$48</f>
        <v/>
      </c>
      <c r="S25" s="24">
        <f>Drivers!$B$48</f>
        <v/>
      </c>
      <c r="T25" s="24">
        <f>Drivers!$B$48</f>
        <v/>
      </c>
      <c r="U25" s="24">
        <f>Drivers!$B$48</f>
        <v/>
      </c>
      <c r="V25" s="24">
        <f>Drivers!$B$48</f>
        <v/>
      </c>
      <c r="W25" s="24">
        <f>Drivers!$B$48</f>
        <v/>
      </c>
      <c r="X25" s="24">
        <f>Drivers!$B$48</f>
        <v/>
      </c>
      <c r="Y25" s="24">
        <f>Drivers!$B$48</f>
        <v/>
      </c>
      <c r="Z25" s="24">
        <f>Drivers!$B$48</f>
        <v/>
      </c>
      <c r="AA25" s="24">
        <f>Drivers!$B$48</f>
        <v/>
      </c>
      <c r="AB25" s="24">
        <f>Drivers!$B$48</f>
        <v/>
      </c>
      <c r="AC25" s="24">
        <f>Drivers!$B$48</f>
        <v/>
      </c>
      <c r="AD25" s="24">
        <f>Drivers!$B$48</f>
        <v/>
      </c>
      <c r="AE25" s="24">
        <f>Drivers!$B$48</f>
        <v/>
      </c>
      <c r="AF25" s="24">
        <f>Drivers!$B$48</f>
        <v/>
      </c>
      <c r="AG25" s="24">
        <f>Drivers!$B$48</f>
        <v/>
      </c>
      <c r="AH25" s="24">
        <f>Drivers!$B$48</f>
        <v/>
      </c>
      <c r="AI25" s="24">
        <f>Drivers!$B$48</f>
        <v/>
      </c>
      <c r="AJ25" s="24">
        <f>Drivers!$B$48</f>
        <v/>
      </c>
      <c r="AK25" s="24">
        <f>Drivers!$B$48</f>
        <v/>
      </c>
    </row>
    <row r="26">
      <c r="A26" t="inlineStr">
        <is>
          <t>SaaS &amp; tooling</t>
        </is>
      </c>
      <c r="B26" s="24">
        <f>Drivers!$B$49</f>
        <v/>
      </c>
      <c r="C26" s="24">
        <f>Drivers!$B$49</f>
        <v/>
      </c>
      <c r="D26" s="24">
        <f>Drivers!$B$49</f>
        <v/>
      </c>
      <c r="E26" s="24">
        <f>Drivers!$B$49</f>
        <v/>
      </c>
      <c r="F26" s="24">
        <f>Drivers!$B$49</f>
        <v/>
      </c>
      <c r="G26" s="24">
        <f>Drivers!$B$49</f>
        <v/>
      </c>
      <c r="H26" s="24">
        <f>Drivers!$B$49</f>
        <v/>
      </c>
      <c r="I26" s="24">
        <f>Drivers!$B$49</f>
        <v/>
      </c>
      <c r="J26" s="24">
        <f>Drivers!$B$49</f>
        <v/>
      </c>
      <c r="K26" s="24">
        <f>Drivers!$B$49</f>
        <v/>
      </c>
      <c r="L26" s="24">
        <f>Drivers!$B$49</f>
        <v/>
      </c>
      <c r="M26" s="24">
        <f>Drivers!$B$49</f>
        <v/>
      </c>
      <c r="N26" s="24">
        <f>Drivers!$B$49</f>
        <v/>
      </c>
      <c r="O26" s="24">
        <f>Drivers!$B$49</f>
        <v/>
      </c>
      <c r="P26" s="24">
        <f>Drivers!$B$49</f>
        <v/>
      </c>
      <c r="Q26" s="24">
        <f>Drivers!$B$49</f>
        <v/>
      </c>
      <c r="R26" s="24">
        <f>Drivers!$B$49</f>
        <v/>
      </c>
      <c r="S26" s="24">
        <f>Drivers!$B$49</f>
        <v/>
      </c>
      <c r="T26" s="24">
        <f>Drivers!$B$49</f>
        <v/>
      </c>
      <c r="U26" s="24">
        <f>Drivers!$B$49</f>
        <v/>
      </c>
      <c r="V26" s="24">
        <f>Drivers!$B$49</f>
        <v/>
      </c>
      <c r="W26" s="24">
        <f>Drivers!$B$49</f>
        <v/>
      </c>
      <c r="X26" s="24">
        <f>Drivers!$B$49</f>
        <v/>
      </c>
      <c r="Y26" s="24">
        <f>Drivers!$B$49</f>
        <v/>
      </c>
      <c r="Z26" s="24">
        <f>Drivers!$B$49</f>
        <v/>
      </c>
      <c r="AA26" s="24">
        <f>Drivers!$B$49</f>
        <v/>
      </c>
      <c r="AB26" s="24">
        <f>Drivers!$B$49</f>
        <v/>
      </c>
      <c r="AC26" s="24">
        <f>Drivers!$B$49</f>
        <v/>
      </c>
      <c r="AD26" s="24">
        <f>Drivers!$B$49</f>
        <v/>
      </c>
      <c r="AE26" s="24">
        <f>Drivers!$B$49</f>
        <v/>
      </c>
      <c r="AF26" s="24">
        <f>Drivers!$B$49</f>
        <v/>
      </c>
      <c r="AG26" s="24">
        <f>Drivers!$B$49</f>
        <v/>
      </c>
      <c r="AH26" s="24">
        <f>Drivers!$B$49</f>
        <v/>
      </c>
      <c r="AI26" s="24">
        <f>Drivers!$B$49</f>
        <v/>
      </c>
      <c r="AJ26" s="24">
        <f>Drivers!$B$49</f>
        <v/>
      </c>
      <c r="AK26" s="24">
        <f>Drivers!$B$49</f>
        <v/>
      </c>
    </row>
    <row r="27">
      <c r="A27" s="25" t="inlineStr">
        <is>
          <t>Total G&amp;A</t>
        </is>
      </c>
      <c r="B27" s="26">
        <f>SUM(B22:B26)</f>
        <v/>
      </c>
      <c r="C27" s="26">
        <f>SUM(C22:C26)</f>
        <v/>
      </c>
      <c r="D27" s="26">
        <f>SUM(D22:D26)</f>
        <v/>
      </c>
      <c r="E27" s="26">
        <f>SUM(E22:E26)</f>
        <v/>
      </c>
      <c r="F27" s="26">
        <f>SUM(F22:F26)</f>
        <v/>
      </c>
      <c r="G27" s="26">
        <f>SUM(G22:G26)</f>
        <v/>
      </c>
      <c r="H27" s="26">
        <f>SUM(H22:H26)</f>
        <v/>
      </c>
      <c r="I27" s="26">
        <f>SUM(I22:I26)</f>
        <v/>
      </c>
      <c r="J27" s="26">
        <f>SUM(J22:J26)</f>
        <v/>
      </c>
      <c r="K27" s="26">
        <f>SUM(K22:K26)</f>
        <v/>
      </c>
      <c r="L27" s="26">
        <f>SUM(L22:L26)</f>
        <v/>
      </c>
      <c r="M27" s="26">
        <f>SUM(M22:M26)</f>
        <v/>
      </c>
      <c r="N27" s="26">
        <f>SUM(N22:N26)</f>
        <v/>
      </c>
      <c r="O27" s="26">
        <f>SUM(O22:O26)</f>
        <v/>
      </c>
      <c r="P27" s="26">
        <f>SUM(P22:P26)</f>
        <v/>
      </c>
      <c r="Q27" s="26">
        <f>SUM(Q22:Q26)</f>
        <v/>
      </c>
      <c r="R27" s="26">
        <f>SUM(R22:R26)</f>
        <v/>
      </c>
      <c r="S27" s="26">
        <f>SUM(S22:S26)</f>
        <v/>
      </c>
      <c r="T27" s="26">
        <f>SUM(T22:T26)</f>
        <v/>
      </c>
      <c r="U27" s="26">
        <f>SUM(U22:U26)</f>
        <v/>
      </c>
      <c r="V27" s="26">
        <f>SUM(V22:V26)</f>
        <v/>
      </c>
      <c r="W27" s="26">
        <f>SUM(W22:W26)</f>
        <v/>
      </c>
      <c r="X27" s="26">
        <f>SUM(X22:X26)</f>
        <v/>
      </c>
      <c r="Y27" s="26">
        <f>SUM(Y22:Y26)</f>
        <v/>
      </c>
      <c r="Z27" s="26">
        <f>SUM(Z22:Z26)</f>
        <v/>
      </c>
      <c r="AA27" s="26">
        <f>SUM(AA22:AA26)</f>
        <v/>
      </c>
      <c r="AB27" s="26">
        <f>SUM(AB22:AB26)</f>
        <v/>
      </c>
      <c r="AC27" s="26">
        <f>SUM(AC22:AC26)</f>
        <v/>
      </c>
      <c r="AD27" s="26">
        <f>SUM(AD22:AD26)</f>
        <v/>
      </c>
      <c r="AE27" s="26">
        <f>SUM(AE22:AE26)</f>
        <v/>
      </c>
      <c r="AF27" s="26">
        <f>SUM(AF22:AF26)</f>
        <v/>
      </c>
      <c r="AG27" s="26">
        <f>SUM(AG22:AG26)</f>
        <v/>
      </c>
      <c r="AH27" s="26">
        <f>SUM(AH22:AH26)</f>
        <v/>
      </c>
      <c r="AI27" s="26">
        <f>SUM(AI22:AI26)</f>
        <v/>
      </c>
      <c r="AJ27" s="26">
        <f>SUM(AJ22:AJ26)</f>
        <v/>
      </c>
      <c r="AK27" s="26">
        <f>SUM(AK22:AK26)</f>
        <v/>
      </c>
    </row>
    <row r="28">
      <c r="A28" s="9" t="inlineStr">
        <is>
          <t>ONE-TIME (M1)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</row>
    <row r="29">
      <c r="A29" t="inlineStr">
        <is>
          <t>Formation, SAFE legal, regulatory memo</t>
        </is>
      </c>
      <c r="B29" s="24">
        <f>Drivers!$B$53+Drivers!$B$54+Drivers!$B$55</f>
        <v/>
      </c>
      <c r="C29" s="24" t="n">
        <v>0</v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0</v>
      </c>
      <c r="M29" s="24" t="n">
        <v>0</v>
      </c>
      <c r="N29" s="24" t="n">
        <v>0</v>
      </c>
      <c r="O29" s="24" t="n">
        <v>0</v>
      </c>
      <c r="P29" s="24" t="n">
        <v>0</v>
      </c>
      <c r="Q29" s="24" t="n">
        <v>0</v>
      </c>
      <c r="R29" s="24" t="n">
        <v>0</v>
      </c>
      <c r="S29" s="24" t="n">
        <v>0</v>
      </c>
      <c r="T29" s="24" t="n">
        <v>0</v>
      </c>
      <c r="U29" s="24" t="n">
        <v>0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 t="n">
        <v>0</v>
      </c>
      <c r="AB29" s="24" t="n">
        <v>0</v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24" t="n">
        <v>0</v>
      </c>
      <c r="AJ29" s="24" t="n">
        <v>0</v>
      </c>
      <c r="AK29" s="24" t="n">
        <v>0</v>
      </c>
    </row>
    <row r="30">
      <c r="A30" s="25" t="inlineStr">
        <is>
          <t>TOTAL OPERATING COSTS</t>
        </is>
      </c>
      <c r="B30" s="26">
        <f>B9+B17+B20+B27+B29</f>
        <v/>
      </c>
      <c r="C30" s="26">
        <f>C9+C17+C20+C27+C29</f>
        <v/>
      </c>
      <c r="D30" s="26">
        <f>D9+D17+D20+D27+D29</f>
        <v/>
      </c>
      <c r="E30" s="26">
        <f>E9+E17+E20+E27+E29</f>
        <v/>
      </c>
      <c r="F30" s="26">
        <f>F9+F17+F20+F27+F29</f>
        <v/>
      </c>
      <c r="G30" s="26">
        <f>G9+G17+G20+G27+G29</f>
        <v/>
      </c>
      <c r="H30" s="26">
        <f>H9+H17+H20+H27+H29</f>
        <v/>
      </c>
      <c r="I30" s="26">
        <f>I9+I17+I20+I27+I29</f>
        <v/>
      </c>
      <c r="J30" s="26">
        <f>J9+J17+J20+J27+J29</f>
        <v/>
      </c>
      <c r="K30" s="26">
        <f>K9+K17+K20+K27+K29</f>
        <v/>
      </c>
      <c r="L30" s="26">
        <f>L9+L17+L20+L27+L29</f>
        <v/>
      </c>
      <c r="M30" s="26">
        <f>M9+M17+M20+M27+M29</f>
        <v/>
      </c>
      <c r="N30" s="26">
        <f>N9+N17+N20+N27+N29</f>
        <v/>
      </c>
      <c r="O30" s="26">
        <f>O9+O17+O20+O27+O29</f>
        <v/>
      </c>
      <c r="P30" s="26">
        <f>P9+P17+P20+P27+P29</f>
        <v/>
      </c>
      <c r="Q30" s="26">
        <f>Q9+Q17+Q20+Q27+Q29</f>
        <v/>
      </c>
      <c r="R30" s="26">
        <f>R9+R17+R20+R27+R29</f>
        <v/>
      </c>
      <c r="S30" s="26">
        <f>S9+S17+S20+S27+S29</f>
        <v/>
      </c>
      <c r="T30" s="26">
        <f>T9+T17+T20+T27+T29</f>
        <v/>
      </c>
      <c r="U30" s="26">
        <f>U9+U17+U20+U27+U29</f>
        <v/>
      </c>
      <c r="V30" s="26">
        <f>V9+V17+V20+V27+V29</f>
        <v/>
      </c>
      <c r="W30" s="26">
        <f>W9+W17+W20+W27+W29</f>
        <v/>
      </c>
      <c r="X30" s="26">
        <f>X9+X17+X20+X27+X29</f>
        <v/>
      </c>
      <c r="Y30" s="26">
        <f>Y9+Y17+Y20+Y27+Y29</f>
        <v/>
      </c>
      <c r="Z30" s="26">
        <f>Z9+Z17+Z20+Z27+Z29</f>
        <v/>
      </c>
      <c r="AA30" s="26">
        <f>AA9+AA17+AA20+AA27+AA29</f>
        <v/>
      </c>
      <c r="AB30" s="26">
        <f>AB9+AB17+AB20+AB27+AB29</f>
        <v/>
      </c>
      <c r="AC30" s="26">
        <f>AC9+AC17+AC20+AC27+AC29</f>
        <v/>
      </c>
      <c r="AD30" s="26">
        <f>AD9+AD17+AD20+AD27+AD29</f>
        <v/>
      </c>
      <c r="AE30" s="26">
        <f>AE9+AE17+AE20+AE27+AE29</f>
        <v/>
      </c>
      <c r="AF30" s="26">
        <f>AF9+AF17+AF20+AF27+AF29</f>
        <v/>
      </c>
      <c r="AG30" s="26">
        <f>AG9+AG17+AG20+AG27+AG29</f>
        <v/>
      </c>
      <c r="AH30" s="26">
        <f>AH9+AH17+AH20+AH27+AH29</f>
        <v/>
      </c>
      <c r="AI30" s="26">
        <f>AI9+AI17+AI20+AI27+AI29</f>
        <v/>
      </c>
      <c r="AJ30" s="26">
        <f>AJ9+AJ17+AJ20+AJ27+AJ29</f>
        <v/>
      </c>
      <c r="AK30" s="26">
        <f>AK9+AK17+AK20+AK27+AK29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38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Income Statement</t>
        </is>
      </c>
    </row>
    <row r="2">
      <c r="A2" s="8" t="inlineStr">
        <is>
          <t>Monthly. No D&amp;A (rented compute), taxes $0 under NOL carryforward.</t>
        </is>
      </c>
    </row>
    <row r="4">
      <c r="A4" s="22" t="inlineStr">
        <is>
          <t>($ unless noted)</t>
        </is>
      </c>
      <c r="B4" s="23" t="inlineStr">
        <is>
          <t>M1 Aug-26</t>
        </is>
      </c>
      <c r="C4" s="23" t="inlineStr">
        <is>
          <t>M2 Sep-26</t>
        </is>
      </c>
      <c r="D4" s="23" t="inlineStr">
        <is>
          <t>M3 Oct-26</t>
        </is>
      </c>
      <c r="E4" s="23" t="inlineStr">
        <is>
          <t>M4 Nov-26</t>
        </is>
      </c>
      <c r="F4" s="23" t="inlineStr">
        <is>
          <t>M5 Dec-26</t>
        </is>
      </c>
      <c r="G4" s="23" t="inlineStr">
        <is>
          <t>M6 Jan-27</t>
        </is>
      </c>
      <c r="H4" s="23" t="inlineStr">
        <is>
          <t>M7 Feb-27</t>
        </is>
      </c>
      <c r="I4" s="23" t="inlineStr">
        <is>
          <t>M8 Mar-27</t>
        </is>
      </c>
      <c r="J4" s="23" t="inlineStr">
        <is>
          <t>M9 Apr-27</t>
        </is>
      </c>
      <c r="K4" s="23" t="inlineStr">
        <is>
          <t>M10 May-27</t>
        </is>
      </c>
      <c r="L4" s="23" t="inlineStr">
        <is>
          <t>M11 Jun-27</t>
        </is>
      </c>
      <c r="M4" s="23" t="inlineStr">
        <is>
          <t>M12 Jul-27</t>
        </is>
      </c>
      <c r="N4" s="23" t="inlineStr">
        <is>
          <t>M13 Aug-27</t>
        </is>
      </c>
      <c r="O4" s="23" t="inlineStr">
        <is>
          <t>M14 Sep-27</t>
        </is>
      </c>
      <c r="P4" s="23" t="inlineStr">
        <is>
          <t>M15 Oct-27</t>
        </is>
      </c>
      <c r="Q4" s="23" t="inlineStr">
        <is>
          <t>M16 Nov-27</t>
        </is>
      </c>
      <c r="R4" s="23" t="inlineStr">
        <is>
          <t>M17 Dec-27</t>
        </is>
      </c>
      <c r="S4" s="23" t="inlineStr">
        <is>
          <t>M18 Jan-28</t>
        </is>
      </c>
      <c r="T4" s="23" t="inlineStr">
        <is>
          <t>M19 Feb-28</t>
        </is>
      </c>
      <c r="U4" s="23" t="inlineStr">
        <is>
          <t>M20 Mar-28</t>
        </is>
      </c>
      <c r="V4" s="23" t="inlineStr">
        <is>
          <t>M21 Apr-28</t>
        </is>
      </c>
      <c r="W4" s="23" t="inlineStr">
        <is>
          <t>M22 May-28</t>
        </is>
      </c>
      <c r="X4" s="23" t="inlineStr">
        <is>
          <t>M23 Jun-28</t>
        </is>
      </c>
      <c r="Y4" s="23" t="inlineStr">
        <is>
          <t>M24 Jul-28</t>
        </is>
      </c>
      <c r="Z4" s="23" t="inlineStr">
        <is>
          <t>M25 Aug-28</t>
        </is>
      </c>
      <c r="AA4" s="23" t="inlineStr">
        <is>
          <t>M26 Sep-28</t>
        </is>
      </c>
      <c r="AB4" s="23" t="inlineStr">
        <is>
          <t>M27 Oct-28</t>
        </is>
      </c>
      <c r="AC4" s="23" t="inlineStr">
        <is>
          <t>M28 Nov-28</t>
        </is>
      </c>
      <c r="AD4" s="23" t="inlineStr">
        <is>
          <t>M29 Dec-28</t>
        </is>
      </c>
      <c r="AE4" s="23" t="inlineStr">
        <is>
          <t>M30 Jan-29</t>
        </is>
      </c>
      <c r="AF4" s="23" t="inlineStr">
        <is>
          <t>M31 Feb-29</t>
        </is>
      </c>
      <c r="AG4" s="23" t="inlineStr">
        <is>
          <t>M32 Mar-29</t>
        </is>
      </c>
      <c r="AH4" s="23" t="inlineStr">
        <is>
          <t>M33 Apr-29</t>
        </is>
      </c>
      <c r="AI4" s="23" t="inlineStr">
        <is>
          <t>M34 May-29</t>
        </is>
      </c>
      <c r="AJ4" s="23" t="inlineStr">
        <is>
          <t>M35 Jun-29</t>
        </is>
      </c>
      <c r="AK4" s="23" t="inlineStr">
        <is>
          <t>M36 Jul-29</t>
        </is>
      </c>
    </row>
    <row r="5">
      <c r="A5" s="12" t="inlineStr">
        <is>
          <t>Revenue</t>
        </is>
      </c>
      <c r="B5" s="29">
        <f>'Rev Build'!B24</f>
        <v/>
      </c>
      <c r="C5" s="29">
        <f>'Rev Build'!C24</f>
        <v/>
      </c>
      <c r="D5" s="29">
        <f>'Rev Build'!D24</f>
        <v/>
      </c>
      <c r="E5" s="29">
        <f>'Rev Build'!E24</f>
        <v/>
      </c>
      <c r="F5" s="29">
        <f>'Rev Build'!F24</f>
        <v/>
      </c>
      <c r="G5" s="29">
        <f>'Rev Build'!G24</f>
        <v/>
      </c>
      <c r="H5" s="29">
        <f>'Rev Build'!H24</f>
        <v/>
      </c>
      <c r="I5" s="29">
        <f>'Rev Build'!I24</f>
        <v/>
      </c>
      <c r="J5" s="29">
        <f>'Rev Build'!J24</f>
        <v/>
      </c>
      <c r="K5" s="29">
        <f>'Rev Build'!K24</f>
        <v/>
      </c>
      <c r="L5" s="29">
        <f>'Rev Build'!L24</f>
        <v/>
      </c>
      <c r="M5" s="29">
        <f>'Rev Build'!M24</f>
        <v/>
      </c>
      <c r="N5" s="29">
        <f>'Rev Build'!N24</f>
        <v/>
      </c>
      <c r="O5" s="29">
        <f>'Rev Build'!O24</f>
        <v/>
      </c>
      <c r="P5" s="29">
        <f>'Rev Build'!P24</f>
        <v/>
      </c>
      <c r="Q5" s="29">
        <f>'Rev Build'!Q24</f>
        <v/>
      </c>
      <c r="R5" s="29">
        <f>'Rev Build'!R24</f>
        <v/>
      </c>
      <c r="S5" s="29">
        <f>'Rev Build'!S24</f>
        <v/>
      </c>
      <c r="T5" s="29">
        <f>'Rev Build'!T24</f>
        <v/>
      </c>
      <c r="U5" s="29">
        <f>'Rev Build'!U24</f>
        <v/>
      </c>
      <c r="V5" s="29">
        <f>'Rev Build'!V24</f>
        <v/>
      </c>
      <c r="W5" s="29">
        <f>'Rev Build'!W24</f>
        <v/>
      </c>
      <c r="X5" s="29">
        <f>'Rev Build'!X24</f>
        <v/>
      </c>
      <c r="Y5" s="29">
        <f>'Rev Build'!Y24</f>
        <v/>
      </c>
      <c r="Z5" s="29">
        <f>'Rev Build'!Z24</f>
        <v/>
      </c>
      <c r="AA5" s="29">
        <f>'Rev Build'!AA24</f>
        <v/>
      </c>
      <c r="AB5" s="29">
        <f>'Rev Build'!AB24</f>
        <v/>
      </c>
      <c r="AC5" s="29">
        <f>'Rev Build'!AC24</f>
        <v/>
      </c>
      <c r="AD5" s="29">
        <f>'Rev Build'!AD24</f>
        <v/>
      </c>
      <c r="AE5" s="29">
        <f>'Rev Build'!AE24</f>
        <v/>
      </c>
      <c r="AF5" s="29">
        <f>'Rev Build'!AF24</f>
        <v/>
      </c>
      <c r="AG5" s="29">
        <f>'Rev Build'!AG24</f>
        <v/>
      </c>
      <c r="AH5" s="29">
        <f>'Rev Build'!AH24</f>
        <v/>
      </c>
      <c r="AI5" s="29">
        <f>'Rev Build'!AI24</f>
        <v/>
      </c>
      <c r="AJ5" s="29">
        <f>'Rev Build'!AJ24</f>
        <v/>
      </c>
      <c r="AK5" s="29">
        <f>'Rev Build'!AK24</f>
        <v/>
      </c>
    </row>
    <row r="6">
      <c r="A6" t="inlineStr">
        <is>
          <t>Cost of revenue</t>
        </is>
      </c>
      <c r="B6" s="28">
        <f>-Opex!B9</f>
        <v/>
      </c>
      <c r="C6" s="28">
        <f>-Opex!C9</f>
        <v/>
      </c>
      <c r="D6" s="28">
        <f>-Opex!D9</f>
        <v/>
      </c>
      <c r="E6" s="28">
        <f>-Opex!E9</f>
        <v/>
      </c>
      <c r="F6" s="28">
        <f>-Opex!F9</f>
        <v/>
      </c>
      <c r="G6" s="28">
        <f>-Opex!G9</f>
        <v/>
      </c>
      <c r="H6" s="28">
        <f>-Opex!H9</f>
        <v/>
      </c>
      <c r="I6" s="28">
        <f>-Opex!I9</f>
        <v/>
      </c>
      <c r="J6" s="28">
        <f>-Opex!J9</f>
        <v/>
      </c>
      <c r="K6" s="28">
        <f>-Opex!K9</f>
        <v/>
      </c>
      <c r="L6" s="28">
        <f>-Opex!L9</f>
        <v/>
      </c>
      <c r="M6" s="28">
        <f>-Opex!M9</f>
        <v/>
      </c>
      <c r="N6" s="28">
        <f>-Opex!N9</f>
        <v/>
      </c>
      <c r="O6" s="28">
        <f>-Opex!O9</f>
        <v/>
      </c>
      <c r="P6" s="28">
        <f>-Opex!P9</f>
        <v/>
      </c>
      <c r="Q6" s="28">
        <f>-Opex!Q9</f>
        <v/>
      </c>
      <c r="R6" s="28">
        <f>-Opex!R9</f>
        <v/>
      </c>
      <c r="S6" s="28">
        <f>-Opex!S9</f>
        <v/>
      </c>
      <c r="T6" s="28">
        <f>-Opex!T9</f>
        <v/>
      </c>
      <c r="U6" s="28">
        <f>-Opex!U9</f>
        <v/>
      </c>
      <c r="V6" s="28">
        <f>-Opex!V9</f>
        <v/>
      </c>
      <c r="W6" s="28">
        <f>-Opex!W9</f>
        <v/>
      </c>
      <c r="X6" s="28">
        <f>-Opex!X9</f>
        <v/>
      </c>
      <c r="Y6" s="28">
        <f>-Opex!Y9</f>
        <v/>
      </c>
      <c r="Z6" s="28">
        <f>-Opex!Z9</f>
        <v/>
      </c>
      <c r="AA6" s="28">
        <f>-Opex!AA9</f>
        <v/>
      </c>
      <c r="AB6" s="28">
        <f>-Opex!AB9</f>
        <v/>
      </c>
      <c r="AC6" s="28">
        <f>-Opex!AC9</f>
        <v/>
      </c>
      <c r="AD6" s="28">
        <f>-Opex!AD9</f>
        <v/>
      </c>
      <c r="AE6" s="28">
        <f>-Opex!AE9</f>
        <v/>
      </c>
      <c r="AF6" s="28">
        <f>-Opex!AF9</f>
        <v/>
      </c>
      <c r="AG6" s="28">
        <f>-Opex!AG9</f>
        <v/>
      </c>
      <c r="AH6" s="28">
        <f>-Opex!AH9</f>
        <v/>
      </c>
      <c r="AI6" s="28">
        <f>-Opex!AI9</f>
        <v/>
      </c>
      <c r="AJ6" s="28">
        <f>-Opex!AJ9</f>
        <v/>
      </c>
      <c r="AK6" s="28">
        <f>-Opex!AK9</f>
        <v/>
      </c>
    </row>
    <row r="7">
      <c r="A7" s="25" t="inlineStr">
        <is>
          <t>Gross profit</t>
        </is>
      </c>
      <c r="B7" s="26">
        <f>B5+B6</f>
        <v/>
      </c>
      <c r="C7" s="26">
        <f>C5+C6</f>
        <v/>
      </c>
      <c r="D7" s="26">
        <f>D5+D6</f>
        <v/>
      </c>
      <c r="E7" s="26">
        <f>E5+E6</f>
        <v/>
      </c>
      <c r="F7" s="26">
        <f>F5+F6</f>
        <v/>
      </c>
      <c r="G7" s="26">
        <f>G5+G6</f>
        <v/>
      </c>
      <c r="H7" s="26">
        <f>H5+H6</f>
        <v/>
      </c>
      <c r="I7" s="26">
        <f>I5+I6</f>
        <v/>
      </c>
      <c r="J7" s="26">
        <f>J5+J6</f>
        <v/>
      </c>
      <c r="K7" s="26">
        <f>K5+K6</f>
        <v/>
      </c>
      <c r="L7" s="26">
        <f>L5+L6</f>
        <v/>
      </c>
      <c r="M7" s="26">
        <f>M5+M6</f>
        <v/>
      </c>
      <c r="N7" s="26">
        <f>N5+N6</f>
        <v/>
      </c>
      <c r="O7" s="26">
        <f>O5+O6</f>
        <v/>
      </c>
      <c r="P7" s="26">
        <f>P5+P6</f>
        <v/>
      </c>
      <c r="Q7" s="26">
        <f>Q5+Q6</f>
        <v/>
      </c>
      <c r="R7" s="26">
        <f>R5+R6</f>
        <v/>
      </c>
      <c r="S7" s="26">
        <f>S5+S6</f>
        <v/>
      </c>
      <c r="T7" s="26">
        <f>T5+T6</f>
        <v/>
      </c>
      <c r="U7" s="26">
        <f>U5+U6</f>
        <v/>
      </c>
      <c r="V7" s="26">
        <f>V5+V6</f>
        <v/>
      </c>
      <c r="W7" s="26">
        <f>W5+W6</f>
        <v/>
      </c>
      <c r="X7" s="26">
        <f>X5+X6</f>
        <v/>
      </c>
      <c r="Y7" s="26">
        <f>Y5+Y6</f>
        <v/>
      </c>
      <c r="Z7" s="26">
        <f>Z5+Z6</f>
        <v/>
      </c>
      <c r="AA7" s="26">
        <f>AA5+AA6</f>
        <v/>
      </c>
      <c r="AB7" s="26">
        <f>AB5+AB6</f>
        <v/>
      </c>
      <c r="AC7" s="26">
        <f>AC5+AC6</f>
        <v/>
      </c>
      <c r="AD7" s="26">
        <f>AD5+AD6</f>
        <v/>
      </c>
      <c r="AE7" s="26">
        <f>AE5+AE6</f>
        <v/>
      </c>
      <c r="AF7" s="26">
        <f>AF5+AF6</f>
        <v/>
      </c>
      <c r="AG7" s="26">
        <f>AG5+AG6</f>
        <v/>
      </c>
      <c r="AH7" s="26">
        <f>AH5+AH6</f>
        <v/>
      </c>
      <c r="AI7" s="26">
        <f>AI5+AI6</f>
        <v/>
      </c>
      <c r="AJ7" s="26">
        <f>AJ5+AJ6</f>
        <v/>
      </c>
      <c r="AK7" s="26">
        <f>AK5+AK6</f>
        <v/>
      </c>
    </row>
    <row r="8">
      <c r="A8" t="inlineStr">
        <is>
          <t>Gross margin %</t>
        </is>
      </c>
      <c r="B8" s="27">
        <f>IF(B5=0,0,B7/B5)</f>
        <v/>
      </c>
      <c r="C8" s="27">
        <f>IF(C5=0,0,C7/C5)</f>
        <v/>
      </c>
      <c r="D8" s="27">
        <f>IF(D5=0,0,D7/D5)</f>
        <v/>
      </c>
      <c r="E8" s="27">
        <f>IF(E5=0,0,E7/E5)</f>
        <v/>
      </c>
      <c r="F8" s="27">
        <f>IF(F5=0,0,F7/F5)</f>
        <v/>
      </c>
      <c r="G8" s="27">
        <f>IF(G5=0,0,G7/G5)</f>
        <v/>
      </c>
      <c r="H8" s="27">
        <f>IF(H5=0,0,H7/H5)</f>
        <v/>
      </c>
      <c r="I8" s="27">
        <f>IF(I5=0,0,I7/I5)</f>
        <v/>
      </c>
      <c r="J8" s="27">
        <f>IF(J5=0,0,J7/J5)</f>
        <v/>
      </c>
      <c r="K8" s="27">
        <f>IF(K5=0,0,K7/K5)</f>
        <v/>
      </c>
      <c r="L8" s="27">
        <f>IF(L5=0,0,L7/L5)</f>
        <v/>
      </c>
      <c r="M8" s="27">
        <f>IF(M5=0,0,M7/M5)</f>
        <v/>
      </c>
      <c r="N8" s="27">
        <f>IF(N5=0,0,N7/N5)</f>
        <v/>
      </c>
      <c r="O8" s="27">
        <f>IF(O5=0,0,O7/O5)</f>
        <v/>
      </c>
      <c r="P8" s="27">
        <f>IF(P5=0,0,P7/P5)</f>
        <v/>
      </c>
      <c r="Q8" s="27">
        <f>IF(Q5=0,0,Q7/Q5)</f>
        <v/>
      </c>
      <c r="R8" s="27">
        <f>IF(R5=0,0,R7/R5)</f>
        <v/>
      </c>
      <c r="S8" s="27">
        <f>IF(S5=0,0,S7/S5)</f>
        <v/>
      </c>
      <c r="T8" s="27">
        <f>IF(T5=0,0,T7/T5)</f>
        <v/>
      </c>
      <c r="U8" s="27">
        <f>IF(U5=0,0,U7/U5)</f>
        <v/>
      </c>
      <c r="V8" s="27">
        <f>IF(V5=0,0,V7/V5)</f>
        <v/>
      </c>
      <c r="W8" s="27">
        <f>IF(W5=0,0,W7/W5)</f>
        <v/>
      </c>
      <c r="X8" s="27">
        <f>IF(X5=0,0,X7/X5)</f>
        <v/>
      </c>
      <c r="Y8" s="27">
        <f>IF(Y5=0,0,Y7/Y5)</f>
        <v/>
      </c>
      <c r="Z8" s="27">
        <f>IF(Z5=0,0,Z7/Z5)</f>
        <v/>
      </c>
      <c r="AA8" s="27">
        <f>IF(AA5=0,0,AA7/AA5)</f>
        <v/>
      </c>
      <c r="AB8" s="27">
        <f>IF(AB5=0,0,AB7/AB5)</f>
        <v/>
      </c>
      <c r="AC8" s="27">
        <f>IF(AC5=0,0,AC7/AC5)</f>
        <v/>
      </c>
      <c r="AD8" s="27">
        <f>IF(AD5=0,0,AD7/AD5)</f>
        <v/>
      </c>
      <c r="AE8" s="27">
        <f>IF(AE5=0,0,AE7/AE5)</f>
        <v/>
      </c>
      <c r="AF8" s="27">
        <f>IF(AF5=0,0,AF7/AF5)</f>
        <v/>
      </c>
      <c r="AG8" s="27">
        <f>IF(AG5=0,0,AG7/AG5)</f>
        <v/>
      </c>
      <c r="AH8" s="27">
        <f>IF(AH5=0,0,AH7/AH5)</f>
        <v/>
      </c>
      <c r="AI8" s="27">
        <f>IF(AI5=0,0,AI7/AI5)</f>
        <v/>
      </c>
      <c r="AJ8" s="27">
        <f>IF(AJ5=0,0,AJ7/AJ5)</f>
        <v/>
      </c>
      <c r="AK8" s="27">
        <f>IF(AK5=0,0,AK7/AK5)</f>
        <v/>
      </c>
    </row>
    <row r="9">
      <c r="A9" t="inlineStr">
        <is>
          <t>R&amp;D — model training</t>
        </is>
      </c>
      <c r="B9" s="28">
        <f>-Opex!B17</f>
        <v/>
      </c>
      <c r="C9" s="28">
        <f>-Opex!C17</f>
        <v/>
      </c>
      <c r="D9" s="28">
        <f>-Opex!D17</f>
        <v/>
      </c>
      <c r="E9" s="28">
        <f>-Opex!E17</f>
        <v/>
      </c>
      <c r="F9" s="28">
        <f>-Opex!F17</f>
        <v/>
      </c>
      <c r="G9" s="28">
        <f>-Opex!G17</f>
        <v/>
      </c>
      <c r="H9" s="28">
        <f>-Opex!H17</f>
        <v/>
      </c>
      <c r="I9" s="28">
        <f>-Opex!I17</f>
        <v/>
      </c>
      <c r="J9" s="28">
        <f>-Opex!J17</f>
        <v/>
      </c>
      <c r="K9" s="28">
        <f>-Opex!K17</f>
        <v/>
      </c>
      <c r="L9" s="28">
        <f>-Opex!L17</f>
        <v/>
      </c>
      <c r="M9" s="28">
        <f>-Opex!M17</f>
        <v/>
      </c>
      <c r="N9" s="28">
        <f>-Opex!N17</f>
        <v/>
      </c>
      <c r="O9" s="28">
        <f>-Opex!O17</f>
        <v/>
      </c>
      <c r="P9" s="28">
        <f>-Opex!P17</f>
        <v/>
      </c>
      <c r="Q9" s="28">
        <f>-Opex!Q17</f>
        <v/>
      </c>
      <c r="R9" s="28">
        <f>-Opex!R17</f>
        <v/>
      </c>
      <c r="S9" s="28">
        <f>-Opex!S17</f>
        <v/>
      </c>
      <c r="T9" s="28">
        <f>-Opex!T17</f>
        <v/>
      </c>
      <c r="U9" s="28">
        <f>-Opex!U17</f>
        <v/>
      </c>
      <c r="V9" s="28">
        <f>-Opex!V17</f>
        <v/>
      </c>
      <c r="W9" s="28">
        <f>-Opex!W17</f>
        <v/>
      </c>
      <c r="X9" s="28">
        <f>-Opex!X17</f>
        <v/>
      </c>
      <c r="Y9" s="28">
        <f>-Opex!Y17</f>
        <v/>
      </c>
      <c r="Z9" s="28">
        <f>-Opex!Z17</f>
        <v/>
      </c>
      <c r="AA9" s="28">
        <f>-Opex!AA17</f>
        <v/>
      </c>
      <c r="AB9" s="28">
        <f>-Opex!AB17</f>
        <v/>
      </c>
      <c r="AC9" s="28">
        <f>-Opex!AC17</f>
        <v/>
      </c>
      <c r="AD9" s="28">
        <f>-Opex!AD17</f>
        <v/>
      </c>
      <c r="AE9" s="28">
        <f>-Opex!AE17</f>
        <v/>
      </c>
      <c r="AF9" s="28">
        <f>-Opex!AF17</f>
        <v/>
      </c>
      <c r="AG9" s="28">
        <f>-Opex!AG17</f>
        <v/>
      </c>
      <c r="AH9" s="28">
        <f>-Opex!AH17</f>
        <v/>
      </c>
      <c r="AI9" s="28">
        <f>-Opex!AI17</f>
        <v/>
      </c>
      <c r="AJ9" s="28">
        <f>-Opex!AJ17</f>
        <v/>
      </c>
      <c r="AK9" s="28">
        <f>-Opex!AK17</f>
        <v/>
      </c>
    </row>
    <row r="10">
      <c r="A10" t="inlineStr">
        <is>
          <t>Sales &amp; marketing</t>
        </is>
      </c>
      <c r="B10" s="28">
        <f>-Opex!B20</f>
        <v/>
      </c>
      <c r="C10" s="28">
        <f>-Opex!C20</f>
        <v/>
      </c>
      <c r="D10" s="28">
        <f>-Opex!D20</f>
        <v/>
      </c>
      <c r="E10" s="28">
        <f>-Opex!E20</f>
        <v/>
      </c>
      <c r="F10" s="28">
        <f>-Opex!F20</f>
        <v/>
      </c>
      <c r="G10" s="28">
        <f>-Opex!G20</f>
        <v/>
      </c>
      <c r="H10" s="28">
        <f>-Opex!H20</f>
        <v/>
      </c>
      <c r="I10" s="28">
        <f>-Opex!I20</f>
        <v/>
      </c>
      <c r="J10" s="28">
        <f>-Opex!J20</f>
        <v/>
      </c>
      <c r="K10" s="28">
        <f>-Opex!K20</f>
        <v/>
      </c>
      <c r="L10" s="28">
        <f>-Opex!L20</f>
        <v/>
      </c>
      <c r="M10" s="28">
        <f>-Opex!M20</f>
        <v/>
      </c>
      <c r="N10" s="28">
        <f>-Opex!N20</f>
        <v/>
      </c>
      <c r="O10" s="28">
        <f>-Opex!O20</f>
        <v/>
      </c>
      <c r="P10" s="28">
        <f>-Opex!P20</f>
        <v/>
      </c>
      <c r="Q10" s="28">
        <f>-Opex!Q20</f>
        <v/>
      </c>
      <c r="R10" s="28">
        <f>-Opex!R20</f>
        <v/>
      </c>
      <c r="S10" s="28">
        <f>-Opex!S20</f>
        <v/>
      </c>
      <c r="T10" s="28">
        <f>-Opex!T20</f>
        <v/>
      </c>
      <c r="U10" s="28">
        <f>-Opex!U20</f>
        <v/>
      </c>
      <c r="V10" s="28">
        <f>-Opex!V20</f>
        <v/>
      </c>
      <c r="W10" s="28">
        <f>-Opex!W20</f>
        <v/>
      </c>
      <c r="X10" s="28">
        <f>-Opex!X20</f>
        <v/>
      </c>
      <c r="Y10" s="28">
        <f>-Opex!Y20</f>
        <v/>
      </c>
      <c r="Z10" s="28">
        <f>-Opex!Z20</f>
        <v/>
      </c>
      <c r="AA10" s="28">
        <f>-Opex!AA20</f>
        <v/>
      </c>
      <c r="AB10" s="28">
        <f>-Opex!AB20</f>
        <v/>
      </c>
      <c r="AC10" s="28">
        <f>-Opex!AC20</f>
        <v/>
      </c>
      <c r="AD10" s="28">
        <f>-Opex!AD20</f>
        <v/>
      </c>
      <c r="AE10" s="28">
        <f>-Opex!AE20</f>
        <v/>
      </c>
      <c r="AF10" s="28">
        <f>-Opex!AF20</f>
        <v/>
      </c>
      <c r="AG10" s="28">
        <f>-Opex!AG20</f>
        <v/>
      </c>
      <c r="AH10" s="28">
        <f>-Opex!AH20</f>
        <v/>
      </c>
      <c r="AI10" s="28">
        <f>-Opex!AI20</f>
        <v/>
      </c>
      <c r="AJ10" s="28">
        <f>-Opex!AJ20</f>
        <v/>
      </c>
      <c r="AK10" s="28">
        <f>-Opex!AK20</f>
        <v/>
      </c>
    </row>
    <row r="11">
      <c r="A11" t="inlineStr">
        <is>
          <t>General &amp; administrative</t>
        </is>
      </c>
      <c r="B11" s="28">
        <f>-Opex!B27</f>
        <v/>
      </c>
      <c r="C11" s="28">
        <f>-Opex!C27</f>
        <v/>
      </c>
      <c r="D11" s="28">
        <f>-Opex!D27</f>
        <v/>
      </c>
      <c r="E11" s="28">
        <f>-Opex!E27</f>
        <v/>
      </c>
      <c r="F11" s="28">
        <f>-Opex!F27</f>
        <v/>
      </c>
      <c r="G11" s="28">
        <f>-Opex!G27</f>
        <v/>
      </c>
      <c r="H11" s="28">
        <f>-Opex!H27</f>
        <v/>
      </c>
      <c r="I11" s="28">
        <f>-Opex!I27</f>
        <v/>
      </c>
      <c r="J11" s="28">
        <f>-Opex!J27</f>
        <v/>
      </c>
      <c r="K11" s="28">
        <f>-Opex!K27</f>
        <v/>
      </c>
      <c r="L11" s="28">
        <f>-Opex!L27</f>
        <v/>
      </c>
      <c r="M11" s="28">
        <f>-Opex!M27</f>
        <v/>
      </c>
      <c r="N11" s="28">
        <f>-Opex!N27</f>
        <v/>
      </c>
      <c r="O11" s="28">
        <f>-Opex!O27</f>
        <v/>
      </c>
      <c r="P11" s="28">
        <f>-Opex!P27</f>
        <v/>
      </c>
      <c r="Q11" s="28">
        <f>-Opex!Q27</f>
        <v/>
      </c>
      <c r="R11" s="28">
        <f>-Opex!R27</f>
        <v/>
      </c>
      <c r="S11" s="28">
        <f>-Opex!S27</f>
        <v/>
      </c>
      <c r="T11" s="28">
        <f>-Opex!T27</f>
        <v/>
      </c>
      <c r="U11" s="28">
        <f>-Opex!U27</f>
        <v/>
      </c>
      <c r="V11" s="28">
        <f>-Opex!V27</f>
        <v/>
      </c>
      <c r="W11" s="28">
        <f>-Opex!W27</f>
        <v/>
      </c>
      <c r="X11" s="28">
        <f>-Opex!X27</f>
        <v/>
      </c>
      <c r="Y11" s="28">
        <f>-Opex!Y27</f>
        <v/>
      </c>
      <c r="Z11" s="28">
        <f>-Opex!Z27</f>
        <v/>
      </c>
      <c r="AA11" s="28">
        <f>-Opex!AA27</f>
        <v/>
      </c>
      <c r="AB11" s="28">
        <f>-Opex!AB27</f>
        <v/>
      </c>
      <c r="AC11" s="28">
        <f>-Opex!AC27</f>
        <v/>
      </c>
      <c r="AD11" s="28">
        <f>-Opex!AD27</f>
        <v/>
      </c>
      <c r="AE11" s="28">
        <f>-Opex!AE27</f>
        <v/>
      </c>
      <c r="AF11" s="28">
        <f>-Opex!AF27</f>
        <v/>
      </c>
      <c r="AG11" s="28">
        <f>-Opex!AG27</f>
        <v/>
      </c>
      <c r="AH11" s="28">
        <f>-Opex!AH27</f>
        <v/>
      </c>
      <c r="AI11" s="28">
        <f>-Opex!AI27</f>
        <v/>
      </c>
      <c r="AJ11" s="28">
        <f>-Opex!AJ27</f>
        <v/>
      </c>
      <c r="AK11" s="28">
        <f>-Opex!AK27</f>
        <v/>
      </c>
    </row>
    <row r="12">
      <c r="A12" t="inlineStr">
        <is>
          <t>One-time formation &amp; legal</t>
        </is>
      </c>
      <c r="B12" s="28">
        <f>-Opex!B29</f>
        <v/>
      </c>
      <c r="C12" s="28">
        <f>-Opex!C29</f>
        <v/>
      </c>
      <c r="D12" s="28">
        <f>-Opex!D29</f>
        <v/>
      </c>
      <c r="E12" s="28">
        <f>-Opex!E29</f>
        <v/>
      </c>
      <c r="F12" s="28">
        <f>-Opex!F29</f>
        <v/>
      </c>
      <c r="G12" s="28">
        <f>-Opex!G29</f>
        <v/>
      </c>
      <c r="H12" s="28">
        <f>-Opex!H29</f>
        <v/>
      </c>
      <c r="I12" s="28">
        <f>-Opex!I29</f>
        <v/>
      </c>
      <c r="J12" s="28">
        <f>-Opex!J29</f>
        <v/>
      </c>
      <c r="K12" s="28">
        <f>-Opex!K29</f>
        <v/>
      </c>
      <c r="L12" s="28">
        <f>-Opex!L29</f>
        <v/>
      </c>
      <c r="M12" s="28">
        <f>-Opex!M29</f>
        <v/>
      </c>
      <c r="N12" s="28">
        <f>-Opex!N29</f>
        <v/>
      </c>
      <c r="O12" s="28">
        <f>-Opex!O29</f>
        <v/>
      </c>
      <c r="P12" s="28">
        <f>-Opex!P29</f>
        <v/>
      </c>
      <c r="Q12" s="28">
        <f>-Opex!Q29</f>
        <v/>
      </c>
      <c r="R12" s="28">
        <f>-Opex!R29</f>
        <v/>
      </c>
      <c r="S12" s="28">
        <f>-Opex!S29</f>
        <v/>
      </c>
      <c r="T12" s="28">
        <f>-Opex!T29</f>
        <v/>
      </c>
      <c r="U12" s="28">
        <f>-Opex!U29</f>
        <v/>
      </c>
      <c r="V12" s="28">
        <f>-Opex!V29</f>
        <v/>
      </c>
      <c r="W12" s="28">
        <f>-Opex!W29</f>
        <v/>
      </c>
      <c r="X12" s="28">
        <f>-Opex!X29</f>
        <v/>
      </c>
      <c r="Y12" s="28">
        <f>-Opex!Y29</f>
        <v/>
      </c>
      <c r="Z12" s="28">
        <f>-Opex!Z29</f>
        <v/>
      </c>
      <c r="AA12" s="28">
        <f>-Opex!AA29</f>
        <v/>
      </c>
      <c r="AB12" s="28">
        <f>-Opex!AB29</f>
        <v/>
      </c>
      <c r="AC12" s="28">
        <f>-Opex!AC29</f>
        <v/>
      </c>
      <c r="AD12" s="28">
        <f>-Opex!AD29</f>
        <v/>
      </c>
      <c r="AE12" s="28">
        <f>-Opex!AE29</f>
        <v/>
      </c>
      <c r="AF12" s="28">
        <f>-Opex!AF29</f>
        <v/>
      </c>
      <c r="AG12" s="28">
        <f>-Opex!AG29</f>
        <v/>
      </c>
      <c r="AH12" s="28">
        <f>-Opex!AH29</f>
        <v/>
      </c>
      <c r="AI12" s="28">
        <f>-Opex!AI29</f>
        <v/>
      </c>
      <c r="AJ12" s="28">
        <f>-Opex!AJ29</f>
        <v/>
      </c>
      <c r="AK12" s="28">
        <f>-Opex!AK29</f>
        <v/>
      </c>
    </row>
    <row r="13">
      <c r="A13" s="12" t="inlineStr">
        <is>
          <t>Total operating expenses</t>
        </is>
      </c>
      <c r="B13" s="30">
        <f>B9+B10+B11+B12</f>
        <v/>
      </c>
      <c r="C13" s="30">
        <f>C9+C10+C11+C12</f>
        <v/>
      </c>
      <c r="D13" s="30">
        <f>D9+D10+D11+D12</f>
        <v/>
      </c>
      <c r="E13" s="30">
        <f>E9+E10+E11+E12</f>
        <v/>
      </c>
      <c r="F13" s="30">
        <f>F9+F10+F11+F12</f>
        <v/>
      </c>
      <c r="G13" s="30">
        <f>G9+G10+G11+G12</f>
        <v/>
      </c>
      <c r="H13" s="30">
        <f>H9+H10+H11+H12</f>
        <v/>
      </c>
      <c r="I13" s="30">
        <f>I9+I10+I11+I12</f>
        <v/>
      </c>
      <c r="J13" s="30">
        <f>J9+J10+J11+J12</f>
        <v/>
      </c>
      <c r="K13" s="30">
        <f>K9+K10+K11+K12</f>
        <v/>
      </c>
      <c r="L13" s="30">
        <f>L9+L10+L11+L12</f>
        <v/>
      </c>
      <c r="M13" s="30">
        <f>M9+M10+M11+M12</f>
        <v/>
      </c>
      <c r="N13" s="30">
        <f>N9+N10+N11+N12</f>
        <v/>
      </c>
      <c r="O13" s="30">
        <f>O9+O10+O11+O12</f>
        <v/>
      </c>
      <c r="P13" s="30">
        <f>P9+P10+P11+P12</f>
        <v/>
      </c>
      <c r="Q13" s="30">
        <f>Q9+Q10+Q11+Q12</f>
        <v/>
      </c>
      <c r="R13" s="30">
        <f>R9+R10+R11+R12</f>
        <v/>
      </c>
      <c r="S13" s="30">
        <f>S9+S10+S11+S12</f>
        <v/>
      </c>
      <c r="T13" s="30">
        <f>T9+T10+T11+T12</f>
        <v/>
      </c>
      <c r="U13" s="30">
        <f>U9+U10+U11+U12</f>
        <v/>
      </c>
      <c r="V13" s="30">
        <f>V9+V10+V11+V12</f>
        <v/>
      </c>
      <c r="W13" s="30">
        <f>W9+W10+W11+W12</f>
        <v/>
      </c>
      <c r="X13" s="30">
        <f>X9+X10+X11+X12</f>
        <v/>
      </c>
      <c r="Y13" s="30">
        <f>Y9+Y10+Y11+Y12</f>
        <v/>
      </c>
      <c r="Z13" s="30">
        <f>Z9+Z10+Z11+Z12</f>
        <v/>
      </c>
      <c r="AA13" s="30">
        <f>AA9+AA10+AA11+AA12</f>
        <v/>
      </c>
      <c r="AB13" s="30">
        <f>AB9+AB10+AB11+AB12</f>
        <v/>
      </c>
      <c r="AC13" s="30">
        <f>AC9+AC10+AC11+AC12</f>
        <v/>
      </c>
      <c r="AD13" s="30">
        <f>AD9+AD10+AD11+AD12</f>
        <v/>
      </c>
      <c r="AE13" s="30">
        <f>AE9+AE10+AE11+AE12</f>
        <v/>
      </c>
      <c r="AF13" s="30">
        <f>AF9+AF10+AF11+AF12</f>
        <v/>
      </c>
      <c r="AG13" s="30">
        <f>AG9+AG10+AG11+AG12</f>
        <v/>
      </c>
      <c r="AH13" s="30">
        <f>AH9+AH10+AH11+AH12</f>
        <v/>
      </c>
      <c r="AI13" s="30">
        <f>AI9+AI10+AI11+AI12</f>
        <v/>
      </c>
      <c r="AJ13" s="30">
        <f>AJ9+AJ10+AJ11+AJ12</f>
        <v/>
      </c>
      <c r="AK13" s="30">
        <f>AK9+AK10+AK11+AK12</f>
        <v/>
      </c>
    </row>
    <row r="14">
      <c r="A14" s="25" t="inlineStr">
        <is>
          <t>EBITDA</t>
        </is>
      </c>
      <c r="B14" s="26">
        <f>B7+B13</f>
        <v/>
      </c>
      <c r="C14" s="26">
        <f>C7+C13</f>
        <v/>
      </c>
      <c r="D14" s="26">
        <f>D7+D13</f>
        <v/>
      </c>
      <c r="E14" s="26">
        <f>E7+E13</f>
        <v/>
      </c>
      <c r="F14" s="26">
        <f>F7+F13</f>
        <v/>
      </c>
      <c r="G14" s="26">
        <f>G7+G13</f>
        <v/>
      </c>
      <c r="H14" s="26">
        <f>H7+H13</f>
        <v/>
      </c>
      <c r="I14" s="26">
        <f>I7+I13</f>
        <v/>
      </c>
      <c r="J14" s="26">
        <f>J7+J13</f>
        <v/>
      </c>
      <c r="K14" s="26">
        <f>K7+K13</f>
        <v/>
      </c>
      <c r="L14" s="26">
        <f>L7+L13</f>
        <v/>
      </c>
      <c r="M14" s="26">
        <f>M7+M13</f>
        <v/>
      </c>
      <c r="N14" s="26">
        <f>N7+N13</f>
        <v/>
      </c>
      <c r="O14" s="26">
        <f>O7+O13</f>
        <v/>
      </c>
      <c r="P14" s="26">
        <f>P7+P13</f>
        <v/>
      </c>
      <c r="Q14" s="26">
        <f>Q7+Q13</f>
        <v/>
      </c>
      <c r="R14" s="26">
        <f>R7+R13</f>
        <v/>
      </c>
      <c r="S14" s="26">
        <f>S7+S13</f>
        <v/>
      </c>
      <c r="T14" s="26">
        <f>T7+T13</f>
        <v/>
      </c>
      <c r="U14" s="26">
        <f>U7+U13</f>
        <v/>
      </c>
      <c r="V14" s="26">
        <f>V7+V13</f>
        <v/>
      </c>
      <c r="W14" s="26">
        <f>W7+W13</f>
        <v/>
      </c>
      <c r="X14" s="26">
        <f>X7+X13</f>
        <v/>
      </c>
      <c r="Y14" s="26">
        <f>Y7+Y13</f>
        <v/>
      </c>
      <c r="Z14" s="26">
        <f>Z7+Z13</f>
        <v/>
      </c>
      <c r="AA14" s="26">
        <f>AA7+AA13</f>
        <v/>
      </c>
      <c r="AB14" s="26">
        <f>AB7+AB13</f>
        <v/>
      </c>
      <c r="AC14" s="26">
        <f>AC7+AC13</f>
        <v/>
      </c>
      <c r="AD14" s="26">
        <f>AD7+AD13</f>
        <v/>
      </c>
      <c r="AE14" s="26">
        <f>AE7+AE13</f>
        <v/>
      </c>
      <c r="AF14" s="26">
        <f>AF7+AF13</f>
        <v/>
      </c>
      <c r="AG14" s="26">
        <f>AG7+AG13</f>
        <v/>
      </c>
      <c r="AH14" s="26">
        <f>AH7+AH13</f>
        <v/>
      </c>
      <c r="AI14" s="26">
        <f>AI7+AI13</f>
        <v/>
      </c>
      <c r="AJ14" s="26">
        <f>AJ7+AJ13</f>
        <v/>
      </c>
      <c r="AK14" s="26">
        <f>AK7+AK13</f>
        <v/>
      </c>
    </row>
    <row r="15">
      <c r="A15" t="inlineStr">
        <is>
          <t>EBITDA margin %</t>
        </is>
      </c>
      <c r="B15" s="27">
        <f>IF(B5=0,0,B14/B5)</f>
        <v/>
      </c>
      <c r="C15" s="27">
        <f>IF(C5=0,0,C14/C5)</f>
        <v/>
      </c>
      <c r="D15" s="27">
        <f>IF(D5=0,0,D14/D5)</f>
        <v/>
      </c>
      <c r="E15" s="27">
        <f>IF(E5=0,0,E14/E5)</f>
        <v/>
      </c>
      <c r="F15" s="27">
        <f>IF(F5=0,0,F14/F5)</f>
        <v/>
      </c>
      <c r="G15" s="27">
        <f>IF(G5=0,0,G14/G5)</f>
        <v/>
      </c>
      <c r="H15" s="27">
        <f>IF(H5=0,0,H14/H5)</f>
        <v/>
      </c>
      <c r="I15" s="27">
        <f>IF(I5=0,0,I14/I5)</f>
        <v/>
      </c>
      <c r="J15" s="27">
        <f>IF(J5=0,0,J14/J5)</f>
        <v/>
      </c>
      <c r="K15" s="27">
        <f>IF(K5=0,0,K14/K5)</f>
        <v/>
      </c>
      <c r="L15" s="27">
        <f>IF(L5=0,0,L14/L5)</f>
        <v/>
      </c>
      <c r="M15" s="27">
        <f>IF(M5=0,0,M14/M5)</f>
        <v/>
      </c>
      <c r="N15" s="27">
        <f>IF(N5=0,0,N14/N5)</f>
        <v/>
      </c>
      <c r="O15" s="27">
        <f>IF(O5=0,0,O14/O5)</f>
        <v/>
      </c>
      <c r="P15" s="27">
        <f>IF(P5=0,0,P14/P5)</f>
        <v/>
      </c>
      <c r="Q15" s="27">
        <f>IF(Q5=0,0,Q14/Q5)</f>
        <v/>
      </c>
      <c r="R15" s="27">
        <f>IF(R5=0,0,R14/R5)</f>
        <v/>
      </c>
      <c r="S15" s="27">
        <f>IF(S5=0,0,S14/S5)</f>
        <v/>
      </c>
      <c r="T15" s="27">
        <f>IF(T5=0,0,T14/T5)</f>
        <v/>
      </c>
      <c r="U15" s="27">
        <f>IF(U5=0,0,U14/U5)</f>
        <v/>
      </c>
      <c r="V15" s="27">
        <f>IF(V5=0,0,V14/V5)</f>
        <v/>
      </c>
      <c r="W15" s="27">
        <f>IF(W5=0,0,W14/W5)</f>
        <v/>
      </c>
      <c r="X15" s="27">
        <f>IF(X5=0,0,X14/X5)</f>
        <v/>
      </c>
      <c r="Y15" s="27">
        <f>IF(Y5=0,0,Y14/Y5)</f>
        <v/>
      </c>
      <c r="Z15" s="27">
        <f>IF(Z5=0,0,Z14/Z5)</f>
        <v/>
      </c>
      <c r="AA15" s="27">
        <f>IF(AA5=0,0,AA14/AA5)</f>
        <v/>
      </c>
      <c r="AB15" s="27">
        <f>IF(AB5=0,0,AB14/AB5)</f>
        <v/>
      </c>
      <c r="AC15" s="27">
        <f>IF(AC5=0,0,AC14/AC5)</f>
        <v/>
      </c>
      <c r="AD15" s="27">
        <f>IF(AD5=0,0,AD14/AD5)</f>
        <v/>
      </c>
      <c r="AE15" s="27">
        <f>IF(AE5=0,0,AE14/AE5)</f>
        <v/>
      </c>
      <c r="AF15" s="27">
        <f>IF(AF5=0,0,AF14/AF5)</f>
        <v/>
      </c>
      <c r="AG15" s="27">
        <f>IF(AG5=0,0,AG14/AG5)</f>
        <v/>
      </c>
      <c r="AH15" s="27">
        <f>IF(AH5=0,0,AH14/AH5)</f>
        <v/>
      </c>
      <c r="AI15" s="27">
        <f>IF(AI5=0,0,AI14/AI5)</f>
        <v/>
      </c>
      <c r="AJ15" s="27">
        <f>IF(AJ5=0,0,AJ14/AJ5)</f>
        <v/>
      </c>
      <c r="AK15" s="27">
        <f>IF(AK5=0,0,AK14/AK5)</f>
        <v/>
      </c>
    </row>
    <row r="16">
      <c r="A16" t="inlineStr">
        <is>
          <t>D&amp;A</t>
        </is>
      </c>
      <c r="B16" s="24" t="n">
        <v>0</v>
      </c>
      <c r="C16" s="24" t="n">
        <v>0</v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  <c r="S16" s="24" t="n">
        <v>0</v>
      </c>
      <c r="T16" s="24" t="n">
        <v>0</v>
      </c>
      <c r="U16" s="24" t="n">
        <v>0</v>
      </c>
      <c r="V16" s="24" t="n">
        <v>0</v>
      </c>
      <c r="W16" s="24" t="n">
        <v>0</v>
      </c>
      <c r="X16" s="24" t="n">
        <v>0</v>
      </c>
      <c r="Y16" s="24" t="n">
        <v>0</v>
      </c>
      <c r="Z16" s="24" t="n">
        <v>0</v>
      </c>
      <c r="AA16" s="24" t="n">
        <v>0</v>
      </c>
      <c r="AB16" s="24" t="n">
        <v>0</v>
      </c>
      <c r="AC16" s="24" t="n">
        <v>0</v>
      </c>
      <c r="AD16" s="24" t="n">
        <v>0</v>
      </c>
      <c r="AE16" s="24" t="n">
        <v>0</v>
      </c>
      <c r="AF16" s="24" t="n">
        <v>0</v>
      </c>
      <c r="AG16" s="24" t="n">
        <v>0</v>
      </c>
      <c r="AH16" s="24" t="n">
        <v>0</v>
      </c>
      <c r="AI16" s="24" t="n">
        <v>0</v>
      </c>
      <c r="AJ16" s="24" t="n">
        <v>0</v>
      </c>
      <c r="AK16" s="24" t="n">
        <v>0</v>
      </c>
    </row>
    <row r="17">
      <c r="A17" t="inlineStr">
        <is>
          <t>EBIT</t>
        </is>
      </c>
      <c r="B17" s="24">
        <f>B14-B16</f>
        <v/>
      </c>
      <c r="C17" s="24">
        <f>C14-C16</f>
        <v/>
      </c>
      <c r="D17" s="24">
        <f>D14-D16</f>
        <v/>
      </c>
      <c r="E17" s="24">
        <f>E14-E16</f>
        <v/>
      </c>
      <c r="F17" s="24">
        <f>F14-F16</f>
        <v/>
      </c>
      <c r="G17" s="24">
        <f>G14-G16</f>
        <v/>
      </c>
      <c r="H17" s="24">
        <f>H14-H16</f>
        <v/>
      </c>
      <c r="I17" s="24">
        <f>I14-I16</f>
        <v/>
      </c>
      <c r="J17" s="24">
        <f>J14-J16</f>
        <v/>
      </c>
      <c r="K17" s="24">
        <f>K14-K16</f>
        <v/>
      </c>
      <c r="L17" s="24">
        <f>L14-L16</f>
        <v/>
      </c>
      <c r="M17" s="24">
        <f>M14-M16</f>
        <v/>
      </c>
      <c r="N17" s="24">
        <f>N14-N16</f>
        <v/>
      </c>
      <c r="O17" s="24">
        <f>O14-O16</f>
        <v/>
      </c>
      <c r="P17" s="24">
        <f>P14-P16</f>
        <v/>
      </c>
      <c r="Q17" s="24">
        <f>Q14-Q16</f>
        <v/>
      </c>
      <c r="R17" s="24">
        <f>R14-R16</f>
        <v/>
      </c>
      <c r="S17" s="24">
        <f>S14-S16</f>
        <v/>
      </c>
      <c r="T17" s="24">
        <f>T14-T16</f>
        <v/>
      </c>
      <c r="U17" s="24">
        <f>U14-U16</f>
        <v/>
      </c>
      <c r="V17" s="24">
        <f>V14-V16</f>
        <v/>
      </c>
      <c r="W17" s="24">
        <f>W14-W16</f>
        <v/>
      </c>
      <c r="X17" s="24">
        <f>X14-X16</f>
        <v/>
      </c>
      <c r="Y17" s="24">
        <f>Y14-Y16</f>
        <v/>
      </c>
      <c r="Z17" s="24">
        <f>Z14-Z16</f>
        <v/>
      </c>
      <c r="AA17" s="24">
        <f>AA14-AA16</f>
        <v/>
      </c>
      <c r="AB17" s="24">
        <f>AB14-AB16</f>
        <v/>
      </c>
      <c r="AC17" s="24">
        <f>AC14-AC16</f>
        <v/>
      </c>
      <c r="AD17" s="24">
        <f>AD14-AD16</f>
        <v/>
      </c>
      <c r="AE17" s="24">
        <f>AE14-AE16</f>
        <v/>
      </c>
      <c r="AF17" s="24">
        <f>AF14-AF16</f>
        <v/>
      </c>
      <c r="AG17" s="24">
        <f>AG14-AG16</f>
        <v/>
      </c>
      <c r="AH17" s="24">
        <f>AH14-AH16</f>
        <v/>
      </c>
      <c r="AI17" s="24">
        <f>AI14-AI16</f>
        <v/>
      </c>
      <c r="AJ17" s="24">
        <f>AJ14-AJ16</f>
        <v/>
      </c>
      <c r="AK17" s="24">
        <f>AK14-AK16</f>
        <v/>
      </c>
    </row>
    <row r="18">
      <c r="A18" t="inlineStr">
        <is>
          <t>Taxes</t>
        </is>
      </c>
      <c r="B18" s="24" t="n">
        <v>0</v>
      </c>
      <c r="C18" s="24" t="n">
        <v>0</v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J18" s="24" t="n">
        <v>0</v>
      </c>
      <c r="K18" s="24" t="n">
        <v>0</v>
      </c>
      <c r="L18" s="24" t="n">
        <v>0</v>
      </c>
      <c r="M18" s="24" t="n">
        <v>0</v>
      </c>
      <c r="N18" s="24" t="n">
        <v>0</v>
      </c>
      <c r="O18" s="24" t="n">
        <v>0</v>
      </c>
      <c r="P18" s="24" t="n">
        <v>0</v>
      </c>
      <c r="Q18" s="24" t="n">
        <v>0</v>
      </c>
      <c r="R18" s="24" t="n">
        <v>0</v>
      </c>
      <c r="S18" s="24" t="n">
        <v>0</v>
      </c>
      <c r="T18" s="24" t="n">
        <v>0</v>
      </c>
      <c r="U18" s="24" t="n">
        <v>0</v>
      </c>
      <c r="V18" s="24" t="n">
        <v>0</v>
      </c>
      <c r="W18" s="24" t="n">
        <v>0</v>
      </c>
      <c r="X18" s="24" t="n">
        <v>0</v>
      </c>
      <c r="Y18" s="24" t="n">
        <v>0</v>
      </c>
      <c r="Z18" s="24" t="n">
        <v>0</v>
      </c>
      <c r="AA18" s="24" t="n">
        <v>0</v>
      </c>
      <c r="AB18" s="24" t="n">
        <v>0</v>
      </c>
      <c r="AC18" s="24" t="n">
        <v>0</v>
      </c>
      <c r="AD18" s="24" t="n">
        <v>0</v>
      </c>
      <c r="AE18" s="24" t="n">
        <v>0</v>
      </c>
      <c r="AF18" s="24" t="n">
        <v>0</v>
      </c>
      <c r="AG18" s="24" t="n">
        <v>0</v>
      </c>
      <c r="AH18" s="24" t="n">
        <v>0</v>
      </c>
      <c r="AI18" s="24" t="n">
        <v>0</v>
      </c>
      <c r="AJ18" s="24" t="n">
        <v>0</v>
      </c>
      <c r="AK18" s="24" t="n">
        <v>0</v>
      </c>
    </row>
    <row r="19">
      <c r="A19" s="25" t="inlineStr">
        <is>
          <t>Net income</t>
        </is>
      </c>
      <c r="B19" s="26">
        <f>B17-B18</f>
        <v/>
      </c>
      <c r="C19" s="26">
        <f>C17-C18</f>
        <v/>
      </c>
      <c r="D19" s="26">
        <f>D17-D18</f>
        <v/>
      </c>
      <c r="E19" s="26">
        <f>E17-E18</f>
        <v/>
      </c>
      <c r="F19" s="26">
        <f>F17-F18</f>
        <v/>
      </c>
      <c r="G19" s="26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L19" s="26">
        <f>L17-L18</f>
        <v/>
      </c>
      <c r="M19" s="26">
        <f>M17-M18</f>
        <v/>
      </c>
      <c r="N19" s="26">
        <f>N17-N18</f>
        <v/>
      </c>
      <c r="O19" s="26">
        <f>O17-O18</f>
        <v/>
      </c>
      <c r="P19" s="26">
        <f>P17-P18</f>
        <v/>
      </c>
      <c r="Q19" s="26">
        <f>Q17-Q18</f>
        <v/>
      </c>
      <c r="R19" s="26">
        <f>R17-R18</f>
        <v/>
      </c>
      <c r="S19" s="26">
        <f>S17-S18</f>
        <v/>
      </c>
      <c r="T19" s="26">
        <f>T17-T18</f>
        <v/>
      </c>
      <c r="U19" s="26">
        <f>U17-U18</f>
        <v/>
      </c>
      <c r="V19" s="26">
        <f>V17-V18</f>
        <v/>
      </c>
      <c r="W19" s="26">
        <f>W17-W18</f>
        <v/>
      </c>
      <c r="X19" s="26">
        <f>X17-X18</f>
        <v/>
      </c>
      <c r="Y19" s="26">
        <f>Y17-Y18</f>
        <v/>
      </c>
      <c r="Z19" s="26">
        <f>Z17-Z18</f>
        <v/>
      </c>
      <c r="AA19" s="26">
        <f>AA17-AA18</f>
        <v/>
      </c>
      <c r="AB19" s="26">
        <f>AB17-AB18</f>
        <v/>
      </c>
      <c r="AC19" s="26">
        <f>AC17-AC18</f>
        <v/>
      </c>
      <c r="AD19" s="26">
        <f>AD17-AD18</f>
        <v/>
      </c>
      <c r="AE19" s="26">
        <f>AE17-AE18</f>
        <v/>
      </c>
      <c r="AF19" s="26">
        <f>AF17-AF18</f>
        <v/>
      </c>
      <c r="AG19" s="26">
        <f>AG17-AG18</f>
        <v/>
      </c>
      <c r="AH19" s="26">
        <f>AH17-AH18</f>
        <v/>
      </c>
      <c r="AI19" s="26">
        <f>AI17-AI18</f>
        <v/>
      </c>
      <c r="AJ19" s="26">
        <f>AJ17-AJ18</f>
        <v/>
      </c>
      <c r="AK19" s="26">
        <f>AK17-AK18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1"/>
  <sheetViews>
    <sheetView workbookViewId="0">
      <selection activeCell="A1" sqref="A1"/>
    </sheetView>
  </sheetViews>
  <sheetFormatPr baseColWidth="8" defaultRowHeight="15"/>
  <cols>
    <col width="38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Cash Flow &amp; Balance Sheet</t>
        </is>
      </c>
    </row>
    <row r="2">
      <c r="A2" s="8" t="inlineStr">
        <is>
          <t>All-cash model (no AR/AP, no capex). SAFE carried as liability until conversion.</t>
        </is>
      </c>
    </row>
    <row r="4">
      <c r="A4" s="22" t="inlineStr">
        <is>
          <t>($ unless noted)</t>
        </is>
      </c>
      <c r="B4" s="23" t="inlineStr">
        <is>
          <t>M1 Aug-26</t>
        </is>
      </c>
      <c r="C4" s="23" t="inlineStr">
        <is>
          <t>M2 Sep-26</t>
        </is>
      </c>
      <c r="D4" s="23" t="inlineStr">
        <is>
          <t>M3 Oct-26</t>
        </is>
      </c>
      <c r="E4" s="23" t="inlineStr">
        <is>
          <t>M4 Nov-26</t>
        </is>
      </c>
      <c r="F4" s="23" t="inlineStr">
        <is>
          <t>M5 Dec-26</t>
        </is>
      </c>
      <c r="G4" s="23" t="inlineStr">
        <is>
          <t>M6 Jan-27</t>
        </is>
      </c>
      <c r="H4" s="23" t="inlineStr">
        <is>
          <t>M7 Feb-27</t>
        </is>
      </c>
      <c r="I4" s="23" t="inlineStr">
        <is>
          <t>M8 Mar-27</t>
        </is>
      </c>
      <c r="J4" s="23" t="inlineStr">
        <is>
          <t>M9 Apr-27</t>
        </is>
      </c>
      <c r="K4" s="23" t="inlineStr">
        <is>
          <t>M10 May-27</t>
        </is>
      </c>
      <c r="L4" s="23" t="inlineStr">
        <is>
          <t>M11 Jun-27</t>
        </is>
      </c>
      <c r="M4" s="23" t="inlineStr">
        <is>
          <t>M12 Jul-27</t>
        </is>
      </c>
      <c r="N4" s="23" t="inlineStr">
        <is>
          <t>M13 Aug-27</t>
        </is>
      </c>
      <c r="O4" s="23" t="inlineStr">
        <is>
          <t>M14 Sep-27</t>
        </is>
      </c>
      <c r="P4" s="23" t="inlineStr">
        <is>
          <t>M15 Oct-27</t>
        </is>
      </c>
      <c r="Q4" s="23" t="inlineStr">
        <is>
          <t>M16 Nov-27</t>
        </is>
      </c>
      <c r="R4" s="23" t="inlineStr">
        <is>
          <t>M17 Dec-27</t>
        </is>
      </c>
      <c r="S4" s="23" t="inlineStr">
        <is>
          <t>M18 Jan-28</t>
        </is>
      </c>
      <c r="T4" s="23" t="inlineStr">
        <is>
          <t>M19 Feb-28</t>
        </is>
      </c>
      <c r="U4" s="23" t="inlineStr">
        <is>
          <t>M20 Mar-28</t>
        </is>
      </c>
      <c r="V4" s="23" t="inlineStr">
        <is>
          <t>M21 Apr-28</t>
        </is>
      </c>
      <c r="W4" s="23" t="inlineStr">
        <is>
          <t>M22 May-28</t>
        </is>
      </c>
      <c r="X4" s="23" t="inlineStr">
        <is>
          <t>M23 Jun-28</t>
        </is>
      </c>
      <c r="Y4" s="23" t="inlineStr">
        <is>
          <t>M24 Jul-28</t>
        </is>
      </c>
      <c r="Z4" s="23" t="inlineStr">
        <is>
          <t>M25 Aug-28</t>
        </is>
      </c>
      <c r="AA4" s="23" t="inlineStr">
        <is>
          <t>M26 Sep-28</t>
        </is>
      </c>
      <c r="AB4" s="23" t="inlineStr">
        <is>
          <t>M27 Oct-28</t>
        </is>
      </c>
      <c r="AC4" s="23" t="inlineStr">
        <is>
          <t>M28 Nov-28</t>
        </is>
      </c>
      <c r="AD4" s="23" t="inlineStr">
        <is>
          <t>M29 Dec-28</t>
        </is>
      </c>
      <c r="AE4" s="23" t="inlineStr">
        <is>
          <t>M30 Jan-29</t>
        </is>
      </c>
      <c r="AF4" s="23" t="inlineStr">
        <is>
          <t>M31 Feb-29</t>
        </is>
      </c>
      <c r="AG4" s="23" t="inlineStr">
        <is>
          <t>M32 Mar-29</t>
        </is>
      </c>
      <c r="AH4" s="23" t="inlineStr">
        <is>
          <t>M33 Apr-29</t>
        </is>
      </c>
      <c r="AI4" s="23" t="inlineStr">
        <is>
          <t>M34 May-29</t>
        </is>
      </c>
      <c r="AJ4" s="23" t="inlineStr">
        <is>
          <t>M35 Jun-29</t>
        </is>
      </c>
      <c r="AK4" s="23" t="inlineStr">
        <is>
          <t>M36 Jul-29</t>
        </is>
      </c>
    </row>
    <row r="5">
      <c r="A5" s="9" t="inlineStr">
        <is>
          <t>CASH FLOW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Net income</t>
        </is>
      </c>
      <c r="B6" s="28">
        <f>'Income Statement'!B19</f>
        <v/>
      </c>
      <c r="C6" s="28">
        <f>'Income Statement'!C19</f>
        <v/>
      </c>
      <c r="D6" s="28">
        <f>'Income Statement'!D19</f>
        <v/>
      </c>
      <c r="E6" s="28">
        <f>'Income Statement'!E19</f>
        <v/>
      </c>
      <c r="F6" s="28">
        <f>'Income Statement'!F19</f>
        <v/>
      </c>
      <c r="G6" s="28">
        <f>'Income Statement'!G19</f>
        <v/>
      </c>
      <c r="H6" s="28">
        <f>'Income Statement'!H19</f>
        <v/>
      </c>
      <c r="I6" s="28">
        <f>'Income Statement'!I19</f>
        <v/>
      </c>
      <c r="J6" s="28">
        <f>'Income Statement'!J19</f>
        <v/>
      </c>
      <c r="K6" s="28">
        <f>'Income Statement'!K19</f>
        <v/>
      </c>
      <c r="L6" s="28">
        <f>'Income Statement'!L19</f>
        <v/>
      </c>
      <c r="M6" s="28">
        <f>'Income Statement'!M19</f>
        <v/>
      </c>
      <c r="N6" s="28">
        <f>'Income Statement'!N19</f>
        <v/>
      </c>
      <c r="O6" s="28">
        <f>'Income Statement'!O19</f>
        <v/>
      </c>
      <c r="P6" s="28">
        <f>'Income Statement'!P19</f>
        <v/>
      </c>
      <c r="Q6" s="28">
        <f>'Income Statement'!Q19</f>
        <v/>
      </c>
      <c r="R6" s="28">
        <f>'Income Statement'!R19</f>
        <v/>
      </c>
      <c r="S6" s="28">
        <f>'Income Statement'!S19</f>
        <v/>
      </c>
      <c r="T6" s="28">
        <f>'Income Statement'!T19</f>
        <v/>
      </c>
      <c r="U6" s="28">
        <f>'Income Statement'!U19</f>
        <v/>
      </c>
      <c r="V6" s="28">
        <f>'Income Statement'!V19</f>
        <v/>
      </c>
      <c r="W6" s="28">
        <f>'Income Statement'!W19</f>
        <v/>
      </c>
      <c r="X6" s="28">
        <f>'Income Statement'!X19</f>
        <v/>
      </c>
      <c r="Y6" s="28">
        <f>'Income Statement'!Y19</f>
        <v/>
      </c>
      <c r="Z6" s="28">
        <f>'Income Statement'!Z19</f>
        <v/>
      </c>
      <c r="AA6" s="28">
        <f>'Income Statement'!AA19</f>
        <v/>
      </c>
      <c r="AB6" s="28">
        <f>'Income Statement'!AB19</f>
        <v/>
      </c>
      <c r="AC6" s="28">
        <f>'Income Statement'!AC19</f>
        <v/>
      </c>
      <c r="AD6" s="28">
        <f>'Income Statement'!AD19</f>
        <v/>
      </c>
      <c r="AE6" s="28">
        <f>'Income Statement'!AE19</f>
        <v/>
      </c>
      <c r="AF6" s="28">
        <f>'Income Statement'!AF19</f>
        <v/>
      </c>
      <c r="AG6" s="28">
        <f>'Income Statement'!AG19</f>
        <v/>
      </c>
      <c r="AH6" s="28">
        <f>'Income Statement'!AH19</f>
        <v/>
      </c>
      <c r="AI6" s="28">
        <f>'Income Statement'!AI19</f>
        <v/>
      </c>
      <c r="AJ6" s="28">
        <f>'Income Statement'!AJ19</f>
        <v/>
      </c>
      <c r="AK6" s="28">
        <f>'Income Statement'!AK19</f>
        <v/>
      </c>
    </row>
    <row r="7">
      <c r="A7" s="12" t="inlineStr">
        <is>
          <t>Cash flow from operations</t>
        </is>
      </c>
      <c r="B7" s="30">
        <f>B6</f>
        <v/>
      </c>
      <c r="C7" s="30">
        <f>C6</f>
        <v/>
      </c>
      <c r="D7" s="30">
        <f>D6</f>
        <v/>
      </c>
      <c r="E7" s="30">
        <f>E6</f>
        <v/>
      </c>
      <c r="F7" s="30">
        <f>F6</f>
        <v/>
      </c>
      <c r="G7" s="30">
        <f>G6</f>
        <v/>
      </c>
      <c r="H7" s="30">
        <f>H6</f>
        <v/>
      </c>
      <c r="I7" s="30">
        <f>I6</f>
        <v/>
      </c>
      <c r="J7" s="30">
        <f>J6</f>
        <v/>
      </c>
      <c r="K7" s="30">
        <f>K6</f>
        <v/>
      </c>
      <c r="L7" s="30">
        <f>L6</f>
        <v/>
      </c>
      <c r="M7" s="30">
        <f>M6</f>
        <v/>
      </c>
      <c r="N7" s="30">
        <f>N6</f>
        <v/>
      </c>
      <c r="O7" s="30">
        <f>O6</f>
        <v/>
      </c>
      <c r="P7" s="30">
        <f>P6</f>
        <v/>
      </c>
      <c r="Q7" s="30">
        <f>Q6</f>
        <v/>
      </c>
      <c r="R7" s="30">
        <f>R6</f>
        <v/>
      </c>
      <c r="S7" s="30">
        <f>S6</f>
        <v/>
      </c>
      <c r="T7" s="30">
        <f>T6</f>
        <v/>
      </c>
      <c r="U7" s="30">
        <f>U6</f>
        <v/>
      </c>
      <c r="V7" s="30">
        <f>V6</f>
        <v/>
      </c>
      <c r="W7" s="30">
        <f>W6</f>
        <v/>
      </c>
      <c r="X7" s="30">
        <f>X6</f>
        <v/>
      </c>
      <c r="Y7" s="30">
        <f>Y6</f>
        <v/>
      </c>
      <c r="Z7" s="30">
        <f>Z6</f>
        <v/>
      </c>
      <c r="AA7" s="30">
        <f>AA6</f>
        <v/>
      </c>
      <c r="AB7" s="30">
        <f>AB6</f>
        <v/>
      </c>
      <c r="AC7" s="30">
        <f>AC6</f>
        <v/>
      </c>
      <c r="AD7" s="30">
        <f>AD6</f>
        <v/>
      </c>
      <c r="AE7" s="30">
        <f>AE6</f>
        <v/>
      </c>
      <c r="AF7" s="30">
        <f>AF6</f>
        <v/>
      </c>
      <c r="AG7" s="30">
        <f>AG6</f>
        <v/>
      </c>
      <c r="AH7" s="30">
        <f>AH6</f>
        <v/>
      </c>
      <c r="AI7" s="30">
        <f>AI6</f>
        <v/>
      </c>
      <c r="AJ7" s="30">
        <f>AJ6</f>
        <v/>
      </c>
      <c r="AK7" s="30">
        <f>AK6</f>
        <v/>
      </c>
    </row>
    <row r="8">
      <c r="A8" t="inlineStr">
        <is>
          <t>Cash flow from investing</t>
        </is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0</v>
      </c>
      <c r="S8" s="24" t="n">
        <v>0</v>
      </c>
      <c r="T8" s="24" t="n">
        <v>0</v>
      </c>
      <c r="U8" s="24" t="n">
        <v>0</v>
      </c>
      <c r="V8" s="24" t="n">
        <v>0</v>
      </c>
      <c r="W8" s="24" t="n">
        <v>0</v>
      </c>
      <c r="X8" s="24" t="n">
        <v>0</v>
      </c>
      <c r="Y8" s="24" t="n">
        <v>0</v>
      </c>
      <c r="Z8" s="24" t="n">
        <v>0</v>
      </c>
      <c r="AA8" s="24" t="n">
        <v>0</v>
      </c>
      <c r="AB8" s="24" t="n">
        <v>0</v>
      </c>
      <c r="AC8" s="24" t="n">
        <v>0</v>
      </c>
      <c r="AD8" s="24" t="n">
        <v>0</v>
      </c>
      <c r="AE8" s="24" t="n">
        <v>0</v>
      </c>
      <c r="AF8" s="24" t="n">
        <v>0</v>
      </c>
      <c r="AG8" s="24" t="n">
        <v>0</v>
      </c>
      <c r="AH8" s="24" t="n">
        <v>0</v>
      </c>
      <c r="AI8" s="24" t="n">
        <v>0</v>
      </c>
      <c r="AJ8" s="24" t="n">
        <v>0</v>
      </c>
      <c r="AK8" s="24" t="n">
        <v>0</v>
      </c>
    </row>
    <row r="9">
      <c r="A9" t="inlineStr">
        <is>
          <t>SAFE proceeds (financing)</t>
        </is>
      </c>
      <c r="B9" s="24">
        <f>Drivers!$B$56</f>
        <v/>
      </c>
      <c r="C9" s="24" t="n">
        <v>0</v>
      </c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  <c r="P9" s="24" t="n">
        <v>0</v>
      </c>
      <c r="Q9" s="24" t="n">
        <v>0</v>
      </c>
      <c r="R9" s="24" t="n">
        <v>0</v>
      </c>
      <c r="S9" s="24" t="n">
        <v>0</v>
      </c>
      <c r="T9" s="24" t="n">
        <v>0</v>
      </c>
      <c r="U9" s="24" t="n">
        <v>0</v>
      </c>
      <c r="V9" s="24" t="n">
        <v>0</v>
      </c>
      <c r="W9" s="24" t="n">
        <v>0</v>
      </c>
      <c r="X9" s="24" t="n">
        <v>0</v>
      </c>
      <c r="Y9" s="24" t="n">
        <v>0</v>
      </c>
      <c r="Z9" s="24" t="n">
        <v>0</v>
      </c>
      <c r="AA9" s="24" t="n">
        <v>0</v>
      </c>
      <c r="AB9" s="24" t="n">
        <v>0</v>
      </c>
      <c r="AC9" s="24" t="n">
        <v>0</v>
      </c>
      <c r="AD9" s="24" t="n">
        <v>0</v>
      </c>
      <c r="AE9" s="24" t="n">
        <v>0</v>
      </c>
      <c r="AF9" s="24" t="n">
        <v>0</v>
      </c>
      <c r="AG9" s="24" t="n">
        <v>0</v>
      </c>
      <c r="AH9" s="24" t="n">
        <v>0</v>
      </c>
      <c r="AI9" s="24" t="n">
        <v>0</v>
      </c>
      <c r="AJ9" s="24" t="n">
        <v>0</v>
      </c>
      <c r="AK9" s="24" t="n">
        <v>0</v>
      </c>
    </row>
    <row r="10">
      <c r="A10" s="12" t="inlineStr">
        <is>
          <t>Net change in cash</t>
        </is>
      </c>
      <c r="B10" s="30">
        <f>B7+B8+B9</f>
        <v/>
      </c>
      <c r="C10" s="30">
        <f>C7+C8+C9</f>
        <v/>
      </c>
      <c r="D10" s="30">
        <f>D7+D8+D9</f>
        <v/>
      </c>
      <c r="E10" s="30">
        <f>E7+E8+E9</f>
        <v/>
      </c>
      <c r="F10" s="30">
        <f>F7+F8+F9</f>
        <v/>
      </c>
      <c r="G10" s="30">
        <f>G7+G8+G9</f>
        <v/>
      </c>
      <c r="H10" s="30">
        <f>H7+H8+H9</f>
        <v/>
      </c>
      <c r="I10" s="30">
        <f>I7+I8+I9</f>
        <v/>
      </c>
      <c r="J10" s="30">
        <f>J7+J8+J9</f>
        <v/>
      </c>
      <c r="K10" s="30">
        <f>K7+K8+K9</f>
        <v/>
      </c>
      <c r="L10" s="30">
        <f>L7+L8+L9</f>
        <v/>
      </c>
      <c r="M10" s="30">
        <f>M7+M8+M9</f>
        <v/>
      </c>
      <c r="N10" s="30">
        <f>N7+N8+N9</f>
        <v/>
      </c>
      <c r="O10" s="30">
        <f>O7+O8+O9</f>
        <v/>
      </c>
      <c r="P10" s="30">
        <f>P7+P8+P9</f>
        <v/>
      </c>
      <c r="Q10" s="30">
        <f>Q7+Q8+Q9</f>
        <v/>
      </c>
      <c r="R10" s="30">
        <f>R7+R8+R9</f>
        <v/>
      </c>
      <c r="S10" s="30">
        <f>S7+S8+S9</f>
        <v/>
      </c>
      <c r="T10" s="30">
        <f>T7+T8+T9</f>
        <v/>
      </c>
      <c r="U10" s="30">
        <f>U7+U8+U9</f>
        <v/>
      </c>
      <c r="V10" s="30">
        <f>V7+V8+V9</f>
        <v/>
      </c>
      <c r="W10" s="30">
        <f>W7+W8+W9</f>
        <v/>
      </c>
      <c r="X10" s="30">
        <f>X7+X8+X9</f>
        <v/>
      </c>
      <c r="Y10" s="30">
        <f>Y7+Y8+Y9</f>
        <v/>
      </c>
      <c r="Z10" s="30">
        <f>Z7+Z8+Z9</f>
        <v/>
      </c>
      <c r="AA10" s="30">
        <f>AA7+AA8+AA9</f>
        <v/>
      </c>
      <c r="AB10" s="30">
        <f>AB7+AB8+AB9</f>
        <v/>
      </c>
      <c r="AC10" s="30">
        <f>AC7+AC8+AC9</f>
        <v/>
      </c>
      <c r="AD10" s="30">
        <f>AD7+AD8+AD9</f>
        <v/>
      </c>
      <c r="AE10" s="30">
        <f>AE7+AE8+AE9</f>
        <v/>
      </c>
      <c r="AF10" s="30">
        <f>AF7+AF8+AF9</f>
        <v/>
      </c>
      <c r="AG10" s="30">
        <f>AG7+AG8+AG9</f>
        <v/>
      </c>
      <c r="AH10" s="30">
        <f>AH7+AH8+AH9</f>
        <v/>
      </c>
      <c r="AI10" s="30">
        <f>AI7+AI8+AI9</f>
        <v/>
      </c>
      <c r="AJ10" s="30">
        <f>AJ7+AJ8+AJ9</f>
        <v/>
      </c>
      <c r="AK10" s="30">
        <f>AK7+AK8+AK9</f>
        <v/>
      </c>
    </row>
    <row r="11">
      <c r="A11" t="inlineStr">
        <is>
          <t>Beginning cash</t>
        </is>
      </c>
      <c r="B11" s="24" t="n">
        <v>0</v>
      </c>
      <c r="C11" s="24">
        <f>B12</f>
        <v/>
      </c>
      <c r="D11" s="24">
        <f>C12</f>
        <v/>
      </c>
      <c r="E11" s="24">
        <f>D12</f>
        <v/>
      </c>
      <c r="F11" s="24">
        <f>E12</f>
        <v/>
      </c>
      <c r="G11" s="24">
        <f>F12</f>
        <v/>
      </c>
      <c r="H11" s="24">
        <f>G12</f>
        <v/>
      </c>
      <c r="I11" s="24">
        <f>H12</f>
        <v/>
      </c>
      <c r="J11" s="24">
        <f>I12</f>
        <v/>
      </c>
      <c r="K11" s="24">
        <f>J12</f>
        <v/>
      </c>
      <c r="L11" s="24">
        <f>K12</f>
        <v/>
      </c>
      <c r="M11" s="24">
        <f>L12</f>
        <v/>
      </c>
      <c r="N11" s="24">
        <f>M12</f>
        <v/>
      </c>
      <c r="O11" s="24">
        <f>N12</f>
        <v/>
      </c>
      <c r="P11" s="24">
        <f>O12</f>
        <v/>
      </c>
      <c r="Q11" s="24">
        <f>P12</f>
        <v/>
      </c>
      <c r="R11" s="24">
        <f>Q12</f>
        <v/>
      </c>
      <c r="S11" s="24">
        <f>R12</f>
        <v/>
      </c>
      <c r="T11" s="24">
        <f>S12</f>
        <v/>
      </c>
      <c r="U11" s="24">
        <f>T12</f>
        <v/>
      </c>
      <c r="V11" s="24">
        <f>U12</f>
        <v/>
      </c>
      <c r="W11" s="24">
        <f>V12</f>
        <v/>
      </c>
      <c r="X11" s="24">
        <f>W12</f>
        <v/>
      </c>
      <c r="Y11" s="24">
        <f>X12</f>
        <v/>
      </c>
      <c r="Z11" s="24">
        <f>Y12</f>
        <v/>
      </c>
      <c r="AA11" s="24">
        <f>Z12</f>
        <v/>
      </c>
      <c r="AB11" s="24">
        <f>AA12</f>
        <v/>
      </c>
      <c r="AC11" s="24">
        <f>AB12</f>
        <v/>
      </c>
      <c r="AD11" s="24">
        <f>AC12</f>
        <v/>
      </c>
      <c r="AE11" s="24">
        <f>AD12</f>
        <v/>
      </c>
      <c r="AF11" s="24">
        <f>AE12</f>
        <v/>
      </c>
      <c r="AG11" s="24">
        <f>AF12</f>
        <v/>
      </c>
      <c r="AH11" s="24">
        <f>AG12</f>
        <v/>
      </c>
      <c r="AI11" s="24">
        <f>AH12</f>
        <v/>
      </c>
      <c r="AJ11" s="24">
        <f>AI12</f>
        <v/>
      </c>
      <c r="AK11" s="24">
        <f>AJ12</f>
        <v/>
      </c>
    </row>
    <row r="12">
      <c r="A12" s="25" t="inlineStr">
        <is>
          <t>Ending cash</t>
        </is>
      </c>
      <c r="B12" s="26">
        <f>B11+B10</f>
        <v/>
      </c>
      <c r="C12" s="26">
        <f>C11+C10</f>
        <v/>
      </c>
      <c r="D12" s="26">
        <f>D11+D10</f>
        <v/>
      </c>
      <c r="E12" s="26">
        <f>E11+E10</f>
        <v/>
      </c>
      <c r="F12" s="26">
        <f>F11+F10</f>
        <v/>
      </c>
      <c r="G12" s="26">
        <f>G11+G10</f>
        <v/>
      </c>
      <c r="H12" s="26">
        <f>H11+H10</f>
        <v/>
      </c>
      <c r="I12" s="26">
        <f>I11+I10</f>
        <v/>
      </c>
      <c r="J12" s="26">
        <f>J11+J10</f>
        <v/>
      </c>
      <c r="K12" s="26">
        <f>K11+K10</f>
        <v/>
      </c>
      <c r="L12" s="26">
        <f>L11+L10</f>
        <v/>
      </c>
      <c r="M12" s="26">
        <f>M11+M10</f>
        <v/>
      </c>
      <c r="N12" s="26">
        <f>N11+N10</f>
        <v/>
      </c>
      <c r="O12" s="26">
        <f>O11+O10</f>
        <v/>
      </c>
      <c r="P12" s="26">
        <f>P11+P10</f>
        <v/>
      </c>
      <c r="Q12" s="26">
        <f>Q11+Q10</f>
        <v/>
      </c>
      <c r="R12" s="26">
        <f>R11+R10</f>
        <v/>
      </c>
      <c r="S12" s="26">
        <f>S11+S10</f>
        <v/>
      </c>
      <c r="T12" s="26">
        <f>T11+T10</f>
        <v/>
      </c>
      <c r="U12" s="26">
        <f>U11+U10</f>
        <v/>
      </c>
      <c r="V12" s="26">
        <f>V11+V10</f>
        <v/>
      </c>
      <c r="W12" s="26">
        <f>W11+W10</f>
        <v/>
      </c>
      <c r="X12" s="26">
        <f>X11+X10</f>
        <v/>
      </c>
      <c r="Y12" s="26">
        <f>Y11+Y10</f>
        <v/>
      </c>
      <c r="Z12" s="26">
        <f>Z11+Z10</f>
        <v/>
      </c>
      <c r="AA12" s="26">
        <f>AA11+AA10</f>
        <v/>
      </c>
      <c r="AB12" s="26">
        <f>AB11+AB10</f>
        <v/>
      </c>
      <c r="AC12" s="26">
        <f>AC11+AC10</f>
        <v/>
      </c>
      <c r="AD12" s="26">
        <f>AD11+AD10</f>
        <v/>
      </c>
      <c r="AE12" s="26">
        <f>AE11+AE10</f>
        <v/>
      </c>
      <c r="AF12" s="26">
        <f>AF11+AF10</f>
        <v/>
      </c>
      <c r="AG12" s="26">
        <f>AG11+AG10</f>
        <v/>
      </c>
      <c r="AH12" s="26">
        <f>AH11+AH10</f>
        <v/>
      </c>
      <c r="AI12" s="26">
        <f>AI11+AI10</f>
        <v/>
      </c>
      <c r="AJ12" s="26">
        <f>AJ11+AJ10</f>
        <v/>
      </c>
      <c r="AK12" s="26">
        <f>AK11+AK10</f>
        <v/>
      </c>
    </row>
    <row r="13">
      <c r="A13" s="9" t="inlineStr">
        <is>
          <t>BALANCE SHEET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</row>
    <row r="14">
      <c r="A14" t="inlineStr">
        <is>
          <t>Cash &amp; equivalents</t>
        </is>
      </c>
      <c r="B14" s="24">
        <f>B12</f>
        <v/>
      </c>
      <c r="C14" s="24">
        <f>C12</f>
        <v/>
      </c>
      <c r="D14" s="24">
        <f>D12</f>
        <v/>
      </c>
      <c r="E14" s="24">
        <f>E12</f>
        <v/>
      </c>
      <c r="F14" s="24">
        <f>F12</f>
        <v/>
      </c>
      <c r="G14" s="24">
        <f>G12</f>
        <v/>
      </c>
      <c r="H14" s="24">
        <f>H12</f>
        <v/>
      </c>
      <c r="I14" s="24">
        <f>I12</f>
        <v/>
      </c>
      <c r="J14" s="24">
        <f>J12</f>
        <v/>
      </c>
      <c r="K14" s="24">
        <f>K12</f>
        <v/>
      </c>
      <c r="L14" s="24">
        <f>L12</f>
        <v/>
      </c>
      <c r="M14" s="24">
        <f>M12</f>
        <v/>
      </c>
      <c r="N14" s="24">
        <f>N12</f>
        <v/>
      </c>
      <c r="O14" s="24">
        <f>O12</f>
        <v/>
      </c>
      <c r="P14" s="24">
        <f>P12</f>
        <v/>
      </c>
      <c r="Q14" s="24">
        <f>Q12</f>
        <v/>
      </c>
      <c r="R14" s="24">
        <f>R12</f>
        <v/>
      </c>
      <c r="S14" s="24">
        <f>S12</f>
        <v/>
      </c>
      <c r="T14" s="24">
        <f>T12</f>
        <v/>
      </c>
      <c r="U14" s="24">
        <f>U12</f>
        <v/>
      </c>
      <c r="V14" s="24">
        <f>V12</f>
        <v/>
      </c>
      <c r="W14" s="24">
        <f>W12</f>
        <v/>
      </c>
      <c r="X14" s="24">
        <f>X12</f>
        <v/>
      </c>
      <c r="Y14" s="24">
        <f>Y12</f>
        <v/>
      </c>
      <c r="Z14" s="24">
        <f>Z12</f>
        <v/>
      </c>
      <c r="AA14" s="24">
        <f>AA12</f>
        <v/>
      </c>
      <c r="AB14" s="24">
        <f>AB12</f>
        <v/>
      </c>
      <c r="AC14" s="24">
        <f>AC12</f>
        <v/>
      </c>
      <c r="AD14" s="24">
        <f>AD12</f>
        <v/>
      </c>
      <c r="AE14" s="24">
        <f>AE12</f>
        <v/>
      </c>
      <c r="AF14" s="24">
        <f>AF12</f>
        <v/>
      </c>
      <c r="AG14" s="24">
        <f>AG12</f>
        <v/>
      </c>
      <c r="AH14" s="24">
        <f>AH12</f>
        <v/>
      </c>
      <c r="AI14" s="24">
        <f>AI12</f>
        <v/>
      </c>
      <c r="AJ14" s="24">
        <f>AJ12</f>
        <v/>
      </c>
      <c r="AK14" s="24">
        <f>AK12</f>
        <v/>
      </c>
    </row>
    <row r="15">
      <c r="A15" s="12" t="inlineStr">
        <is>
          <t>Total assets</t>
        </is>
      </c>
      <c r="B15" s="30">
        <f>B14</f>
        <v/>
      </c>
      <c r="C15" s="30">
        <f>C14</f>
        <v/>
      </c>
      <c r="D15" s="30">
        <f>D14</f>
        <v/>
      </c>
      <c r="E15" s="30">
        <f>E14</f>
        <v/>
      </c>
      <c r="F15" s="30">
        <f>F14</f>
        <v/>
      </c>
      <c r="G15" s="30">
        <f>G14</f>
        <v/>
      </c>
      <c r="H15" s="30">
        <f>H14</f>
        <v/>
      </c>
      <c r="I15" s="30">
        <f>I14</f>
        <v/>
      </c>
      <c r="J15" s="30">
        <f>J14</f>
        <v/>
      </c>
      <c r="K15" s="30">
        <f>K14</f>
        <v/>
      </c>
      <c r="L15" s="30">
        <f>L14</f>
        <v/>
      </c>
      <c r="M15" s="30">
        <f>M14</f>
        <v/>
      </c>
      <c r="N15" s="30">
        <f>N14</f>
        <v/>
      </c>
      <c r="O15" s="30">
        <f>O14</f>
        <v/>
      </c>
      <c r="P15" s="30">
        <f>P14</f>
        <v/>
      </c>
      <c r="Q15" s="30">
        <f>Q14</f>
        <v/>
      </c>
      <c r="R15" s="30">
        <f>R14</f>
        <v/>
      </c>
      <c r="S15" s="30">
        <f>S14</f>
        <v/>
      </c>
      <c r="T15" s="30">
        <f>T14</f>
        <v/>
      </c>
      <c r="U15" s="30">
        <f>U14</f>
        <v/>
      </c>
      <c r="V15" s="30">
        <f>V14</f>
        <v/>
      </c>
      <c r="W15" s="30">
        <f>W14</f>
        <v/>
      </c>
      <c r="X15" s="30">
        <f>X14</f>
        <v/>
      </c>
      <c r="Y15" s="30">
        <f>Y14</f>
        <v/>
      </c>
      <c r="Z15" s="30">
        <f>Z14</f>
        <v/>
      </c>
      <c r="AA15" s="30">
        <f>AA14</f>
        <v/>
      </c>
      <c r="AB15" s="30">
        <f>AB14</f>
        <v/>
      </c>
      <c r="AC15" s="30">
        <f>AC14</f>
        <v/>
      </c>
      <c r="AD15" s="30">
        <f>AD14</f>
        <v/>
      </c>
      <c r="AE15" s="30">
        <f>AE14</f>
        <v/>
      </c>
      <c r="AF15" s="30">
        <f>AF14</f>
        <v/>
      </c>
      <c r="AG15" s="30">
        <f>AG14</f>
        <v/>
      </c>
      <c r="AH15" s="30">
        <f>AH14</f>
        <v/>
      </c>
      <c r="AI15" s="30">
        <f>AI14</f>
        <v/>
      </c>
      <c r="AJ15" s="30">
        <f>AJ14</f>
        <v/>
      </c>
      <c r="AK15" s="30">
        <f>AK14</f>
        <v/>
      </c>
    </row>
    <row r="16">
      <c r="A16" t="inlineStr">
        <is>
          <t>SAFE (convertible instrument)</t>
        </is>
      </c>
      <c r="B16" s="24">
        <f>Drivers!$B$56</f>
        <v/>
      </c>
      <c r="C16" s="24">
        <f>Drivers!$B$56</f>
        <v/>
      </c>
      <c r="D16" s="24">
        <f>Drivers!$B$56</f>
        <v/>
      </c>
      <c r="E16" s="24">
        <f>Drivers!$B$56</f>
        <v/>
      </c>
      <c r="F16" s="24">
        <f>Drivers!$B$56</f>
        <v/>
      </c>
      <c r="G16" s="24">
        <f>Drivers!$B$56</f>
        <v/>
      </c>
      <c r="H16" s="24">
        <f>Drivers!$B$56</f>
        <v/>
      </c>
      <c r="I16" s="24">
        <f>Drivers!$B$56</f>
        <v/>
      </c>
      <c r="J16" s="24">
        <f>Drivers!$B$56</f>
        <v/>
      </c>
      <c r="K16" s="24">
        <f>Drivers!$B$56</f>
        <v/>
      </c>
      <c r="L16" s="24">
        <f>Drivers!$B$56</f>
        <v/>
      </c>
      <c r="M16" s="24">
        <f>Drivers!$B$56</f>
        <v/>
      </c>
      <c r="N16" s="24">
        <f>Drivers!$B$56</f>
        <v/>
      </c>
      <c r="O16" s="24">
        <f>Drivers!$B$56</f>
        <v/>
      </c>
      <c r="P16" s="24">
        <f>Drivers!$B$56</f>
        <v/>
      </c>
      <c r="Q16" s="24">
        <f>Drivers!$B$56</f>
        <v/>
      </c>
      <c r="R16" s="24">
        <f>Drivers!$B$56</f>
        <v/>
      </c>
      <c r="S16" s="24">
        <f>Drivers!$B$56</f>
        <v/>
      </c>
      <c r="T16" s="24">
        <f>Drivers!$B$56</f>
        <v/>
      </c>
      <c r="U16" s="24">
        <f>Drivers!$B$56</f>
        <v/>
      </c>
      <c r="V16" s="24">
        <f>Drivers!$B$56</f>
        <v/>
      </c>
      <c r="W16" s="24">
        <f>Drivers!$B$56</f>
        <v/>
      </c>
      <c r="X16" s="24">
        <f>Drivers!$B$56</f>
        <v/>
      </c>
      <c r="Y16" s="24">
        <f>Drivers!$B$56</f>
        <v/>
      </c>
      <c r="Z16" s="24">
        <f>Drivers!$B$56</f>
        <v/>
      </c>
      <c r="AA16" s="24">
        <f>Drivers!$B$56</f>
        <v/>
      </c>
      <c r="AB16" s="24">
        <f>Drivers!$B$56</f>
        <v/>
      </c>
      <c r="AC16" s="24">
        <f>Drivers!$B$56</f>
        <v/>
      </c>
      <c r="AD16" s="24">
        <f>Drivers!$B$56</f>
        <v/>
      </c>
      <c r="AE16" s="24">
        <f>Drivers!$B$56</f>
        <v/>
      </c>
      <c r="AF16" s="24">
        <f>Drivers!$B$56</f>
        <v/>
      </c>
      <c r="AG16" s="24">
        <f>Drivers!$B$56</f>
        <v/>
      </c>
      <c r="AH16" s="24">
        <f>Drivers!$B$56</f>
        <v/>
      </c>
      <c r="AI16" s="24">
        <f>Drivers!$B$56</f>
        <v/>
      </c>
      <c r="AJ16" s="24">
        <f>Drivers!$B$56</f>
        <v/>
      </c>
      <c r="AK16" s="24">
        <f>Drivers!$B$56</f>
        <v/>
      </c>
    </row>
    <row r="17">
      <c r="A17" s="12" t="inlineStr">
        <is>
          <t>Total liabilities</t>
        </is>
      </c>
      <c r="B17" s="30">
        <f>B16</f>
        <v/>
      </c>
      <c r="C17" s="30">
        <f>C16</f>
        <v/>
      </c>
      <c r="D17" s="30">
        <f>D16</f>
        <v/>
      </c>
      <c r="E17" s="30">
        <f>E16</f>
        <v/>
      </c>
      <c r="F17" s="30">
        <f>F16</f>
        <v/>
      </c>
      <c r="G17" s="30">
        <f>G16</f>
        <v/>
      </c>
      <c r="H17" s="30">
        <f>H16</f>
        <v/>
      </c>
      <c r="I17" s="30">
        <f>I16</f>
        <v/>
      </c>
      <c r="J17" s="30">
        <f>J16</f>
        <v/>
      </c>
      <c r="K17" s="30">
        <f>K16</f>
        <v/>
      </c>
      <c r="L17" s="30">
        <f>L16</f>
        <v/>
      </c>
      <c r="M17" s="30">
        <f>M16</f>
        <v/>
      </c>
      <c r="N17" s="30">
        <f>N16</f>
        <v/>
      </c>
      <c r="O17" s="30">
        <f>O16</f>
        <v/>
      </c>
      <c r="P17" s="30">
        <f>P16</f>
        <v/>
      </c>
      <c r="Q17" s="30">
        <f>Q16</f>
        <v/>
      </c>
      <c r="R17" s="30">
        <f>R16</f>
        <v/>
      </c>
      <c r="S17" s="30">
        <f>S16</f>
        <v/>
      </c>
      <c r="T17" s="30">
        <f>T16</f>
        <v/>
      </c>
      <c r="U17" s="30">
        <f>U16</f>
        <v/>
      </c>
      <c r="V17" s="30">
        <f>V16</f>
        <v/>
      </c>
      <c r="W17" s="30">
        <f>W16</f>
        <v/>
      </c>
      <c r="X17" s="30">
        <f>X16</f>
        <v/>
      </c>
      <c r="Y17" s="30">
        <f>Y16</f>
        <v/>
      </c>
      <c r="Z17" s="30">
        <f>Z16</f>
        <v/>
      </c>
      <c r="AA17" s="30">
        <f>AA16</f>
        <v/>
      </c>
      <c r="AB17" s="30">
        <f>AB16</f>
        <v/>
      </c>
      <c r="AC17" s="30">
        <f>AC16</f>
        <v/>
      </c>
      <c r="AD17" s="30">
        <f>AD16</f>
        <v/>
      </c>
      <c r="AE17" s="30">
        <f>AE16</f>
        <v/>
      </c>
      <c r="AF17" s="30">
        <f>AF16</f>
        <v/>
      </c>
      <c r="AG17" s="30">
        <f>AG16</f>
        <v/>
      </c>
      <c r="AH17" s="30">
        <f>AH16</f>
        <v/>
      </c>
      <c r="AI17" s="30">
        <f>AI16</f>
        <v/>
      </c>
      <c r="AJ17" s="30">
        <f>AJ16</f>
        <v/>
      </c>
      <c r="AK17" s="30">
        <f>AK16</f>
        <v/>
      </c>
    </row>
    <row r="18">
      <c r="A18" t="inlineStr">
        <is>
          <t>Retained earnings (deficit)</t>
        </is>
      </c>
      <c r="B18" s="24">
        <f>B6</f>
        <v/>
      </c>
      <c r="C18" s="24">
        <f>B18+C6</f>
        <v/>
      </c>
      <c r="D18" s="24">
        <f>C18+D6</f>
        <v/>
      </c>
      <c r="E18" s="24">
        <f>D18+E6</f>
        <v/>
      </c>
      <c r="F18" s="24">
        <f>E18+F6</f>
        <v/>
      </c>
      <c r="G18" s="24">
        <f>F18+G6</f>
        <v/>
      </c>
      <c r="H18" s="24">
        <f>G18+H6</f>
        <v/>
      </c>
      <c r="I18" s="24">
        <f>H18+I6</f>
        <v/>
      </c>
      <c r="J18" s="24">
        <f>I18+J6</f>
        <v/>
      </c>
      <c r="K18" s="24">
        <f>J18+K6</f>
        <v/>
      </c>
      <c r="L18" s="24">
        <f>K18+L6</f>
        <v/>
      </c>
      <c r="M18" s="24">
        <f>L18+M6</f>
        <v/>
      </c>
      <c r="N18" s="24">
        <f>M18+N6</f>
        <v/>
      </c>
      <c r="O18" s="24">
        <f>N18+O6</f>
        <v/>
      </c>
      <c r="P18" s="24">
        <f>O18+P6</f>
        <v/>
      </c>
      <c r="Q18" s="24">
        <f>P18+Q6</f>
        <v/>
      </c>
      <c r="R18" s="24">
        <f>Q18+R6</f>
        <v/>
      </c>
      <c r="S18" s="24">
        <f>R18+S6</f>
        <v/>
      </c>
      <c r="T18" s="24">
        <f>S18+T6</f>
        <v/>
      </c>
      <c r="U18" s="24">
        <f>T18+U6</f>
        <v/>
      </c>
      <c r="V18" s="24">
        <f>U18+V6</f>
        <v/>
      </c>
      <c r="W18" s="24">
        <f>V18+W6</f>
        <v/>
      </c>
      <c r="X18" s="24">
        <f>W18+X6</f>
        <v/>
      </c>
      <c r="Y18" s="24">
        <f>X18+Y6</f>
        <v/>
      </c>
      <c r="Z18" s="24">
        <f>Y18+Z6</f>
        <v/>
      </c>
      <c r="AA18" s="24">
        <f>Z18+AA6</f>
        <v/>
      </c>
      <c r="AB18" s="24">
        <f>AA18+AB6</f>
        <v/>
      </c>
      <c r="AC18" s="24">
        <f>AB18+AC6</f>
        <v/>
      </c>
      <c r="AD18" s="24">
        <f>AC18+AD6</f>
        <v/>
      </c>
      <c r="AE18" s="24">
        <f>AD18+AE6</f>
        <v/>
      </c>
      <c r="AF18" s="24">
        <f>AE18+AF6</f>
        <v/>
      </c>
      <c r="AG18" s="24">
        <f>AF18+AG6</f>
        <v/>
      </c>
      <c r="AH18" s="24">
        <f>AG18+AH6</f>
        <v/>
      </c>
      <c r="AI18" s="24">
        <f>AH18+AI6</f>
        <v/>
      </c>
      <c r="AJ18" s="24">
        <f>AI18+AJ6</f>
        <v/>
      </c>
      <c r="AK18" s="24">
        <f>AJ18+AK6</f>
        <v/>
      </c>
    </row>
    <row r="19">
      <c r="A19" s="12" t="inlineStr">
        <is>
          <t>Total equity</t>
        </is>
      </c>
      <c r="B19" s="30">
        <f>B18</f>
        <v/>
      </c>
      <c r="C19" s="30">
        <f>C18</f>
        <v/>
      </c>
      <c r="D19" s="30">
        <f>D18</f>
        <v/>
      </c>
      <c r="E19" s="30">
        <f>E18</f>
        <v/>
      </c>
      <c r="F19" s="30">
        <f>F18</f>
        <v/>
      </c>
      <c r="G19" s="30">
        <f>G18</f>
        <v/>
      </c>
      <c r="H19" s="30">
        <f>H18</f>
        <v/>
      </c>
      <c r="I19" s="30">
        <f>I18</f>
        <v/>
      </c>
      <c r="J19" s="30">
        <f>J18</f>
        <v/>
      </c>
      <c r="K19" s="30">
        <f>K18</f>
        <v/>
      </c>
      <c r="L19" s="30">
        <f>L18</f>
        <v/>
      </c>
      <c r="M19" s="30">
        <f>M18</f>
        <v/>
      </c>
      <c r="N19" s="30">
        <f>N18</f>
        <v/>
      </c>
      <c r="O19" s="30">
        <f>O18</f>
        <v/>
      </c>
      <c r="P19" s="30">
        <f>P18</f>
        <v/>
      </c>
      <c r="Q19" s="30">
        <f>Q18</f>
        <v/>
      </c>
      <c r="R19" s="30">
        <f>R18</f>
        <v/>
      </c>
      <c r="S19" s="30">
        <f>S18</f>
        <v/>
      </c>
      <c r="T19" s="30">
        <f>T18</f>
        <v/>
      </c>
      <c r="U19" s="30">
        <f>U18</f>
        <v/>
      </c>
      <c r="V19" s="30">
        <f>V18</f>
        <v/>
      </c>
      <c r="W19" s="30">
        <f>W18</f>
        <v/>
      </c>
      <c r="X19" s="30">
        <f>X18</f>
        <v/>
      </c>
      <c r="Y19" s="30">
        <f>Y18</f>
        <v/>
      </c>
      <c r="Z19" s="30">
        <f>Z18</f>
        <v/>
      </c>
      <c r="AA19" s="30">
        <f>AA18</f>
        <v/>
      </c>
      <c r="AB19" s="30">
        <f>AB18</f>
        <v/>
      </c>
      <c r="AC19" s="30">
        <f>AC18</f>
        <v/>
      </c>
      <c r="AD19" s="30">
        <f>AD18</f>
        <v/>
      </c>
      <c r="AE19" s="30">
        <f>AE18</f>
        <v/>
      </c>
      <c r="AF19" s="30">
        <f>AF18</f>
        <v/>
      </c>
      <c r="AG19" s="30">
        <f>AG18</f>
        <v/>
      </c>
      <c r="AH19" s="30">
        <f>AH18</f>
        <v/>
      </c>
      <c r="AI19" s="30">
        <f>AI18</f>
        <v/>
      </c>
      <c r="AJ19" s="30">
        <f>AJ18</f>
        <v/>
      </c>
      <c r="AK19" s="30">
        <f>AK18</f>
        <v/>
      </c>
    </row>
    <row r="20">
      <c r="A20" s="12" t="inlineStr">
        <is>
          <t>Liabilities + equity</t>
        </is>
      </c>
      <c r="B20" s="30">
        <f>B17+B19</f>
        <v/>
      </c>
      <c r="C20" s="30">
        <f>C17+C19</f>
        <v/>
      </c>
      <c r="D20" s="30">
        <f>D17+D19</f>
        <v/>
      </c>
      <c r="E20" s="30">
        <f>E17+E19</f>
        <v/>
      </c>
      <c r="F20" s="30">
        <f>F17+F19</f>
        <v/>
      </c>
      <c r="G20" s="30">
        <f>G17+G19</f>
        <v/>
      </c>
      <c r="H20" s="30">
        <f>H17+H19</f>
        <v/>
      </c>
      <c r="I20" s="30">
        <f>I17+I19</f>
        <v/>
      </c>
      <c r="J20" s="30">
        <f>J17+J19</f>
        <v/>
      </c>
      <c r="K20" s="30">
        <f>K17+K19</f>
        <v/>
      </c>
      <c r="L20" s="30">
        <f>L17+L19</f>
        <v/>
      </c>
      <c r="M20" s="30">
        <f>M17+M19</f>
        <v/>
      </c>
      <c r="N20" s="30">
        <f>N17+N19</f>
        <v/>
      </c>
      <c r="O20" s="30">
        <f>O17+O19</f>
        <v/>
      </c>
      <c r="P20" s="30">
        <f>P17+P19</f>
        <v/>
      </c>
      <c r="Q20" s="30">
        <f>Q17+Q19</f>
        <v/>
      </c>
      <c r="R20" s="30">
        <f>R17+R19</f>
        <v/>
      </c>
      <c r="S20" s="30">
        <f>S17+S19</f>
        <v/>
      </c>
      <c r="T20" s="30">
        <f>T17+T19</f>
        <v/>
      </c>
      <c r="U20" s="30">
        <f>U17+U19</f>
        <v/>
      </c>
      <c r="V20" s="30">
        <f>V17+V19</f>
        <v/>
      </c>
      <c r="W20" s="30">
        <f>W17+W19</f>
        <v/>
      </c>
      <c r="X20" s="30">
        <f>X17+X19</f>
        <v/>
      </c>
      <c r="Y20" s="30">
        <f>Y17+Y19</f>
        <v/>
      </c>
      <c r="Z20" s="30">
        <f>Z17+Z19</f>
        <v/>
      </c>
      <c r="AA20" s="30">
        <f>AA17+AA19</f>
        <v/>
      </c>
      <c r="AB20" s="30">
        <f>AB17+AB19</f>
        <v/>
      </c>
      <c r="AC20" s="30">
        <f>AC17+AC19</f>
        <v/>
      </c>
      <c r="AD20" s="30">
        <f>AD17+AD19</f>
        <v/>
      </c>
      <c r="AE20" s="30">
        <f>AE17+AE19</f>
        <v/>
      </c>
      <c r="AF20" s="30">
        <f>AF17+AF19</f>
        <v/>
      </c>
      <c r="AG20" s="30">
        <f>AG17+AG19</f>
        <v/>
      </c>
      <c r="AH20" s="30">
        <f>AH17+AH19</f>
        <v/>
      </c>
      <c r="AI20" s="30">
        <f>AI17+AI19</f>
        <v/>
      </c>
      <c r="AJ20" s="30">
        <f>AJ17+AJ19</f>
        <v/>
      </c>
      <c r="AK20" s="30">
        <f>AK17+AK19</f>
        <v/>
      </c>
    </row>
    <row r="21">
      <c r="A21" s="31" t="inlineStr">
        <is>
          <t>CHECK: assets − (L+E) = 0</t>
        </is>
      </c>
      <c r="B21" s="32">
        <f>B15-B20</f>
        <v/>
      </c>
      <c r="C21" s="32">
        <f>C15-C20</f>
        <v/>
      </c>
      <c r="D21" s="32">
        <f>D15-D20</f>
        <v/>
      </c>
      <c r="E21" s="32">
        <f>E15-E20</f>
        <v/>
      </c>
      <c r="F21" s="32">
        <f>F15-F20</f>
        <v/>
      </c>
      <c r="G21" s="32">
        <f>G15-G20</f>
        <v/>
      </c>
      <c r="H21" s="32">
        <f>H15-H20</f>
        <v/>
      </c>
      <c r="I21" s="32">
        <f>I15-I20</f>
        <v/>
      </c>
      <c r="J21" s="32">
        <f>J15-J20</f>
        <v/>
      </c>
      <c r="K21" s="32">
        <f>K15-K20</f>
        <v/>
      </c>
      <c r="L21" s="32">
        <f>L15-L20</f>
        <v/>
      </c>
      <c r="M21" s="32">
        <f>M15-M20</f>
        <v/>
      </c>
      <c r="N21" s="32">
        <f>N15-N20</f>
        <v/>
      </c>
      <c r="O21" s="32">
        <f>O15-O20</f>
        <v/>
      </c>
      <c r="P21" s="32">
        <f>P15-P20</f>
        <v/>
      </c>
      <c r="Q21" s="32">
        <f>Q15-Q20</f>
        <v/>
      </c>
      <c r="R21" s="32">
        <f>R15-R20</f>
        <v/>
      </c>
      <c r="S21" s="32">
        <f>S15-S20</f>
        <v/>
      </c>
      <c r="T21" s="32">
        <f>T15-T20</f>
        <v/>
      </c>
      <c r="U21" s="32">
        <f>U15-U20</f>
        <v/>
      </c>
      <c r="V21" s="32">
        <f>V15-V20</f>
        <v/>
      </c>
      <c r="W21" s="32">
        <f>W15-W20</f>
        <v/>
      </c>
      <c r="X21" s="32">
        <f>X15-X20</f>
        <v/>
      </c>
      <c r="Y21" s="32">
        <f>Y15-Y20</f>
        <v/>
      </c>
      <c r="Z21" s="32">
        <f>Z15-Z20</f>
        <v/>
      </c>
      <c r="AA21" s="32">
        <f>AA15-AA20</f>
        <v/>
      </c>
      <c r="AB21" s="32">
        <f>AB15-AB20</f>
        <v/>
      </c>
      <c r="AC21" s="32">
        <f>AC15-AC20</f>
        <v/>
      </c>
      <c r="AD21" s="32">
        <f>AD15-AD20</f>
        <v/>
      </c>
      <c r="AE21" s="32">
        <f>AE15-AE20</f>
        <v/>
      </c>
      <c r="AF21" s="32">
        <f>AF15-AF20</f>
        <v/>
      </c>
      <c r="AG21" s="32">
        <f>AG15-AG20</f>
        <v/>
      </c>
      <c r="AH21" s="32">
        <f>AH15-AH20</f>
        <v/>
      </c>
      <c r="AI21" s="32">
        <f>AI15-AI20</f>
        <v/>
      </c>
      <c r="AJ21" s="32">
        <f>AJ15-AJ20</f>
        <v/>
      </c>
      <c r="AK21" s="32">
        <f>AK15-AK20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60" customWidth="1" min="5" max="5"/>
  </cols>
  <sheetData>
    <row r="1">
      <c r="A1" s="7" t="inlineStr">
        <is>
          <t>narve.ai — Annual Summary &amp; SaaS KPIs</t>
        </is>
      </c>
    </row>
    <row r="2">
      <c r="A2" s="8" t="inlineStr">
        <is>
          <t>FY1 = M1–12 (Aug-26–Jul-27), FY2 = M13–24, FY3 = M25–36.</t>
        </is>
      </c>
    </row>
    <row r="4">
      <c r="A4" s="22" t="inlineStr"/>
      <c r="B4" s="22" t="inlineStr">
        <is>
          <t>FY1</t>
        </is>
      </c>
      <c r="C4" s="22" t="inlineStr">
        <is>
          <t>FY2</t>
        </is>
      </c>
      <c r="D4" s="22" t="inlineStr">
        <is>
          <t>FY3</t>
        </is>
      </c>
    </row>
    <row r="5">
      <c r="A5" s="12" t="inlineStr">
        <is>
          <t>Revenue</t>
        </is>
      </c>
      <c r="B5" s="30">
        <f>SUM('Income Statement'!B5:L5)</f>
        <v/>
      </c>
      <c r="C5" s="30">
        <f>SUM('Income Statement'!N5:X5)</f>
        <v/>
      </c>
      <c r="D5" s="30">
        <f>SUM('Income Statement'!Z5:AJ5)</f>
        <v/>
      </c>
    </row>
    <row r="6">
      <c r="A6" t="inlineStr">
        <is>
          <t>Revenue growth %</t>
        </is>
      </c>
      <c r="B6" s="27" t="inlineStr">
        <is>
          <t>n/a</t>
        </is>
      </c>
      <c r="C6" s="27">
        <f>IF(B5=0,0,C5/B5-1)</f>
        <v/>
      </c>
      <c r="D6" s="27">
        <f>IF(C5=0,0,D5/C5-1)</f>
        <v/>
      </c>
    </row>
    <row r="7">
      <c r="A7" t="inlineStr">
        <is>
          <t>Gross profit</t>
        </is>
      </c>
      <c r="B7" s="24">
        <f>SUM('Income Statement'!B7:L7)</f>
        <v/>
      </c>
      <c r="C7" s="24">
        <f>SUM('Income Statement'!N7:X7)</f>
        <v/>
      </c>
      <c r="D7" s="24">
        <f>SUM('Income Statement'!Z7:AJ7)</f>
        <v/>
      </c>
    </row>
    <row r="8">
      <c r="A8" s="12" t="inlineStr">
        <is>
          <t>EBITDA</t>
        </is>
      </c>
      <c r="B8" s="30">
        <f>SUM('Income Statement'!B14:L14)</f>
        <v/>
      </c>
      <c r="C8" s="30">
        <f>SUM('Income Statement'!N14:X14)</f>
        <v/>
      </c>
      <c r="D8" s="30">
        <f>SUM('Income Statement'!Z14:AJ14)</f>
        <v/>
      </c>
    </row>
    <row r="9">
      <c r="A9" t="inlineStr">
        <is>
          <t>EBITDA margin %</t>
        </is>
      </c>
      <c r="B9" s="27">
        <f>IF(B5=0,0,B8/B5)</f>
        <v/>
      </c>
      <c r="C9" s="27">
        <f>IF(C5=0,0,C8/C5)</f>
        <v/>
      </c>
      <c r="D9" s="27">
        <f>IF(D5=0,0,D8/D5)</f>
        <v/>
      </c>
    </row>
    <row r="10">
      <c r="A10" t="inlineStr">
        <is>
          <t>Net income</t>
        </is>
      </c>
      <c r="B10" s="24">
        <f>SUM('Income Statement'!B19:L19)</f>
        <v/>
      </c>
      <c r="C10" s="24">
        <f>SUM('Income Statement'!N19:X19)</f>
        <v/>
      </c>
      <c r="D10" s="24">
        <f>SUM('Income Statement'!Z19:AJ19)</f>
        <v/>
      </c>
    </row>
    <row r="11">
      <c r="A11" s="12" t="inlineStr">
        <is>
          <t>Ending ARR</t>
        </is>
      </c>
      <c r="B11" s="30">
        <f>'Rev Build'!L25</f>
        <v/>
      </c>
      <c r="C11" s="30">
        <f>'Rev Build'!X25</f>
        <v/>
      </c>
      <c r="D11" s="30">
        <f>'Rev Build'!AJ25</f>
        <v/>
      </c>
    </row>
    <row r="12">
      <c r="A12" t="inlineStr">
        <is>
          <t>Ending subscribers</t>
        </is>
      </c>
      <c r="B12" s="24">
        <f>'Rev Build'!L23</f>
        <v/>
      </c>
      <c r="C12" s="24">
        <f>'Rev Build'!X23</f>
        <v/>
      </c>
      <c r="D12" s="24">
        <f>'Rev Build'!AJ23</f>
        <v/>
      </c>
    </row>
    <row r="13">
      <c r="A13" s="12" t="inlineStr">
        <is>
          <t>Ending cash</t>
        </is>
      </c>
      <c r="B13" s="30">
        <f>'Cash Flow &amp; BS'!L12</f>
        <v/>
      </c>
      <c r="C13" s="30">
        <f>'Cash Flow &amp; BS'!X12</f>
        <v/>
      </c>
      <c r="D13" s="30">
        <f>'Cash Flow &amp; BS'!AJ12</f>
        <v/>
      </c>
    </row>
    <row r="15">
      <c r="A15" s="9" t="inlineStr">
        <is>
          <t>SaaS KPIs (steady-state formulas)</t>
        </is>
      </c>
      <c r="B15" s="10" t="n"/>
      <c r="C15" s="10" t="n"/>
      <c r="D15" s="10" t="n"/>
      <c r="E15" s="10" t="n"/>
    </row>
    <row r="16">
      <c r="A16" t="inlineStr">
        <is>
          <t>Blended ARPU (M24), $/mo</t>
        </is>
      </c>
      <c r="B16" s="33">
        <f>'Rev Build'!Y27</f>
        <v/>
      </c>
    </row>
    <row r="17">
      <c r="A17" t="inlineStr">
        <is>
          <t>Gross margin % (M24)</t>
        </is>
      </c>
      <c r="B17" s="15">
        <f>'Income Statement'!Y8</f>
        <v/>
      </c>
    </row>
    <row r="18">
      <c r="A18" t="inlineStr">
        <is>
          <t>CAC (M24) = marketing / gross adds</t>
        </is>
      </c>
      <c r="B18" s="33">
        <f>Opex!Y19/'Rev Build'!Y6</f>
        <v/>
      </c>
    </row>
    <row r="19">
      <c r="A19" t="inlineStr">
        <is>
          <t>LTV = ARPU × GM% / churn</t>
        </is>
      </c>
      <c r="B19" s="33">
        <f>'Rev Build'!Y27*'Income Statement'!Y8/Drivers!$B$12</f>
        <v/>
      </c>
    </row>
    <row r="20">
      <c r="A20" t="inlineStr">
        <is>
          <t>LTV / CAC</t>
        </is>
      </c>
      <c r="B20" s="34">
        <f>B19/B18</f>
        <v/>
      </c>
      <c r="E20" s="4" t="inlineStr">
        <is>
          <t>healthy &gt; 3x</t>
        </is>
      </c>
    </row>
    <row r="21">
      <c r="A21" t="inlineStr">
        <is>
          <t>CAC payback, months</t>
        </is>
      </c>
      <c r="B21" s="35">
        <f>B18/('Rev Build'!Y27*'Income Statement'!Y8)</f>
        <v/>
      </c>
      <c r="E21" s="4" t="inlineStr">
        <is>
          <t>healthy &lt; 12</t>
        </is>
      </c>
    </row>
    <row r="22">
      <c r="A22" t="inlineStr">
        <is>
          <t>Burn multiple (FY1) = net burn / net new ARR</t>
        </is>
      </c>
      <c r="B22" s="34">
        <f>IF(B11=0,0,MAX(0,-B10)/B11)</f>
        <v/>
      </c>
      <c r="E22" s="4" t="inlineStr">
        <is>
          <t>great &lt; 1x (Craft/ Sacks scale)</t>
        </is>
      </c>
    </row>
    <row r="23">
      <c r="A23" t="inlineStr">
        <is>
          <t>Rule of 40 (FY2) = growth% + EBITDA margin%</t>
        </is>
      </c>
      <c r="B23" s="15">
        <f>C6+C9</f>
        <v/>
      </c>
      <c r="E23" s="4" t="inlineStr">
        <is>
          <t>&gt; 40% is elite</t>
        </is>
      </c>
    </row>
    <row r="24">
      <c r="A24" t="inlineStr">
        <is>
          <t>Peak funding need (min cumulative cash pre-raise)</t>
        </is>
      </c>
      <c r="B24" s="30">
        <f>MAX(0,-MIN('Cash Flow &amp; BS'!B12:AK12)+Drivers!$B$56)</f>
        <v/>
      </c>
      <c r="E24" s="4" t="inlineStr">
        <is>
          <t>min ending cash restated excluding SAFE proceeds</t>
        </is>
      </c>
    </row>
    <row r="25">
      <c r="A25" t="inlineStr">
        <is>
          <t>Recommended raise = peak need × (1 + buffer)</t>
        </is>
      </c>
      <c r="B25" s="30">
        <f>B24*(1+Drivers!$B$59)</f>
        <v/>
      </c>
    </row>
    <row r="26">
      <c r="A26" t="inlineStr">
        <is>
          <t>Minimum cash balance (with current SAFE)</t>
        </is>
      </c>
      <c r="B26" s="30">
        <f>MIN('Cash Flow &amp; BS'!B12:AK12)</f>
        <v/>
      </c>
      <c r="E26" s="4" t="inlineStr">
        <is>
          <t>must stay ≥ 0 — see Checks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7" t="inlineStr">
        <is>
          <t>narve.ai — Sensitivity Analysis</t>
        </is>
      </c>
    </row>
    <row r="2">
      <c r="A2" s="8" t="inlineStr">
        <is>
          <t>Grids computed at build time from the identical model logic (Base shape, Fine-tune plan, salary $0). Rebuild to refresh; the live workbook drivers cover single-scenario what-ifs.</t>
        </is>
      </c>
    </row>
    <row r="4">
      <c r="A4" s="9" t="inlineStr">
        <is>
          <t>PEAK FUNDING NEED, $ (before buffer)</t>
        </is>
      </c>
      <c r="B4" s="10" t="n"/>
      <c r="C4" s="10" t="n"/>
      <c r="D4" s="10" t="n"/>
      <c r="E4" s="10" t="n"/>
      <c r="F4" s="10" t="n"/>
      <c r="G4" s="10" t="n"/>
    </row>
    <row r="5">
      <c r="A5" s="12" t="inlineStr">
        <is>
          <t>churn ↓ / adds growth →</t>
        </is>
      </c>
      <c r="B5" s="15" t="n">
        <v>0.1</v>
      </c>
      <c r="C5" s="15" t="n">
        <v>0.125</v>
      </c>
      <c r="D5" s="15" t="n">
        <v>0.15</v>
      </c>
      <c r="E5" s="15" t="n">
        <v>0.175</v>
      </c>
      <c r="F5" s="15" t="n">
        <v>0.2</v>
      </c>
    </row>
    <row r="6">
      <c r="A6" s="15" t="n">
        <v>0.04</v>
      </c>
      <c r="B6" s="24" t="n">
        <v>37287</v>
      </c>
      <c r="C6" s="24" t="n">
        <v>36102</v>
      </c>
      <c r="D6" s="24" t="n">
        <v>35124</v>
      </c>
      <c r="E6" s="24" t="n">
        <v>34332</v>
      </c>
      <c r="F6" s="24" t="n">
        <v>33682</v>
      </c>
    </row>
    <row r="7">
      <c r="A7" s="15" t="n">
        <v>0.05</v>
      </c>
      <c r="B7" s="24" t="n">
        <v>37652</v>
      </c>
      <c r="C7" s="24" t="n">
        <v>36389</v>
      </c>
      <c r="D7" s="24" t="n">
        <v>35344</v>
      </c>
      <c r="E7" s="24" t="n">
        <v>34560</v>
      </c>
      <c r="F7" s="24" t="n">
        <v>33843</v>
      </c>
    </row>
    <row r="8">
      <c r="A8" s="15" t="n">
        <v>0.06</v>
      </c>
      <c r="B8" s="24" t="n">
        <v>38100</v>
      </c>
      <c r="C8" s="24" t="n">
        <v>36705</v>
      </c>
      <c r="D8" s="26" t="n">
        <v>35638</v>
      </c>
      <c r="E8" s="24" t="n">
        <v>34780</v>
      </c>
      <c r="F8" s="24" t="n">
        <v>33999</v>
      </c>
    </row>
    <row r="9">
      <c r="A9" s="15" t="n">
        <v>0.07000000000000001</v>
      </c>
      <c r="B9" s="24" t="n">
        <v>38537</v>
      </c>
      <c r="C9" s="24" t="n">
        <v>37065</v>
      </c>
      <c r="D9" s="24" t="n">
        <v>35922</v>
      </c>
      <c r="E9" s="24" t="n">
        <v>34994</v>
      </c>
      <c r="F9" s="24" t="n">
        <v>34163</v>
      </c>
    </row>
    <row r="10">
      <c r="A10" s="15" t="n">
        <v>0.08</v>
      </c>
      <c r="B10" s="24" t="n">
        <v>38956</v>
      </c>
      <c r="C10" s="24" t="n">
        <v>37411</v>
      </c>
      <c r="D10" s="24" t="n">
        <v>36195</v>
      </c>
      <c r="E10" s="24" t="n">
        <v>35201</v>
      </c>
      <c r="F10" s="24" t="n">
        <v>34382</v>
      </c>
    </row>
    <row r="12">
      <c r="A12" s="9" t="inlineStr">
        <is>
          <t>MONTH-24 MRR, $</t>
        </is>
      </c>
      <c r="B12" s="10" t="n"/>
      <c r="C12" s="10" t="n"/>
      <c r="D12" s="10" t="n"/>
      <c r="E12" s="10" t="n"/>
      <c r="F12" s="10" t="n"/>
      <c r="G12" s="10" t="n"/>
    </row>
    <row r="13">
      <c r="A13" s="12" t="inlineStr">
        <is>
          <t>churn ↓ / adds growth →</t>
        </is>
      </c>
      <c r="B13" s="15" t="n">
        <v>0.1</v>
      </c>
      <c r="C13" s="15" t="n">
        <v>0.125</v>
      </c>
      <c r="D13" s="15" t="n">
        <v>0.15</v>
      </c>
      <c r="E13" s="15" t="n">
        <v>0.175</v>
      </c>
      <c r="F13" s="15" t="n">
        <v>0.2</v>
      </c>
    </row>
    <row r="14">
      <c r="A14" s="15" t="n">
        <v>0.04</v>
      </c>
      <c r="B14" s="24" t="n">
        <v>11410</v>
      </c>
      <c r="C14" s="24" t="n">
        <v>15118</v>
      </c>
      <c r="D14" s="24" t="n">
        <v>17319</v>
      </c>
      <c r="E14" s="24" t="n">
        <v>18767</v>
      </c>
      <c r="F14" s="24" t="n">
        <v>19782</v>
      </c>
    </row>
    <row r="15">
      <c r="A15" s="15" t="n">
        <v>0.05</v>
      </c>
      <c r="B15" s="24" t="n">
        <v>10743</v>
      </c>
      <c r="C15" s="24" t="n">
        <v>14248</v>
      </c>
      <c r="D15" s="24" t="n">
        <v>16261</v>
      </c>
      <c r="E15" s="24" t="n">
        <v>17555</v>
      </c>
      <c r="F15" s="24" t="n">
        <v>18447</v>
      </c>
    </row>
    <row r="16">
      <c r="A16" s="15" t="n">
        <v>0.06</v>
      </c>
      <c r="B16" s="24" t="n">
        <v>10140</v>
      </c>
      <c r="C16" s="24" t="n">
        <v>13458</v>
      </c>
      <c r="D16" s="26" t="n">
        <v>15299</v>
      </c>
      <c r="E16" s="24" t="n">
        <v>16455</v>
      </c>
      <c r="F16" s="24" t="n">
        <v>17239</v>
      </c>
    </row>
    <row r="17">
      <c r="A17" s="15" t="n">
        <v>0.07000000000000001</v>
      </c>
      <c r="B17" s="24" t="n">
        <v>9595</v>
      </c>
      <c r="C17" s="24" t="n">
        <v>12737</v>
      </c>
      <c r="D17" s="24" t="n">
        <v>14421</v>
      </c>
      <c r="E17" s="24" t="n">
        <v>15454</v>
      </c>
      <c r="F17" s="24" t="n">
        <v>16142</v>
      </c>
    </row>
    <row r="18">
      <c r="A18" s="15" t="n">
        <v>0.08</v>
      </c>
      <c r="B18" s="24" t="n">
        <v>9099</v>
      </c>
      <c r="C18" s="24" t="n">
        <v>12079</v>
      </c>
      <c r="D18" s="24" t="n">
        <v>13620</v>
      </c>
      <c r="E18" s="24" t="n">
        <v>14542</v>
      </c>
      <c r="F18" s="24" t="n">
        <v>15146</v>
      </c>
    </row>
    <row r="20">
      <c r="A20" s="9" t="inlineStr">
        <is>
          <t>SCALE-TRAINING PLAN (H100) — same grid, peak funding need $</t>
        </is>
      </c>
      <c r="B20" s="10" t="n"/>
      <c r="C20" s="10" t="n"/>
      <c r="D20" s="10" t="n"/>
      <c r="E20" s="10" t="n"/>
      <c r="F20" s="10" t="n"/>
      <c r="G20" s="10" t="n"/>
    </row>
    <row r="21">
      <c r="A21" s="12" t="inlineStr">
        <is>
          <t>churn ↓ / adds growth →</t>
        </is>
      </c>
      <c r="B21" s="15" t="n">
        <v>0.1</v>
      </c>
      <c r="C21" s="15" t="n">
        <v>0.125</v>
      </c>
      <c r="D21" s="15" t="n">
        <v>0.15</v>
      </c>
      <c r="E21" s="15" t="n">
        <v>0.175</v>
      </c>
      <c r="F21" s="15" t="n">
        <v>0.2</v>
      </c>
    </row>
    <row r="22">
      <c r="A22" s="15" t="n">
        <v>0.04</v>
      </c>
      <c r="B22" s="24" t="n">
        <v>234800</v>
      </c>
      <c r="C22" s="24" t="n">
        <v>208961</v>
      </c>
      <c r="D22" s="24" t="n">
        <v>190672</v>
      </c>
      <c r="E22" s="24" t="n">
        <v>176972</v>
      </c>
      <c r="F22" s="24" t="n">
        <v>166452</v>
      </c>
    </row>
    <row r="23">
      <c r="A23" s="15" t="n">
        <v>0.05</v>
      </c>
      <c r="B23" s="24" t="n">
        <v>240695</v>
      </c>
      <c r="C23" s="24" t="n">
        <v>213394</v>
      </c>
      <c r="D23" s="24" t="n">
        <v>194300</v>
      </c>
      <c r="E23" s="24" t="n">
        <v>180206</v>
      </c>
      <c r="F23" s="24" t="n">
        <v>169443</v>
      </c>
    </row>
    <row r="24">
      <c r="A24" s="15" t="n">
        <v>0.06</v>
      </c>
      <c r="B24" s="24" t="n">
        <v>246665</v>
      </c>
      <c r="C24" s="24" t="n">
        <v>217968</v>
      </c>
      <c r="D24" s="24" t="n">
        <v>198096</v>
      </c>
      <c r="E24" s="24" t="n">
        <v>183649</v>
      </c>
      <c r="F24" s="24" t="n">
        <v>172561</v>
      </c>
    </row>
    <row r="25">
      <c r="A25" s="15" t="n">
        <v>0.07000000000000001</v>
      </c>
      <c r="B25" s="24" t="n">
        <v>252817</v>
      </c>
      <c r="C25" s="24" t="n">
        <v>222824</v>
      </c>
      <c r="D25" s="24" t="n">
        <v>202292</v>
      </c>
      <c r="E25" s="24" t="n">
        <v>187348</v>
      </c>
      <c r="F25" s="24" t="n">
        <v>175958</v>
      </c>
    </row>
    <row r="26">
      <c r="A26" s="15" t="n">
        <v>0.08</v>
      </c>
      <c r="B26" s="24" t="n">
        <v>259247</v>
      </c>
      <c r="C26" s="24" t="n">
        <v>228080</v>
      </c>
      <c r="D26" s="24" t="n">
        <v>206810</v>
      </c>
      <c r="E26" s="24" t="n">
        <v>191461</v>
      </c>
      <c r="F26" s="24" t="n">
        <v>179798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narve.ai — Cap Table &amp; Valuation</t>
        </is>
      </c>
    </row>
    <row r="2">
      <c r="A2" s="8" t="inlineStr">
        <is>
          <t>Post-money SAFE (YC standard): SAFE % = raise / post-money cap, independent of other SAFEs.</t>
        </is>
      </c>
    </row>
    <row r="4">
      <c r="A4" s="9" t="inlineStr">
        <is>
          <t>SAFE CONVERSION (live — driven by Drivers)</t>
        </is>
      </c>
      <c r="B4" s="10" t="n"/>
      <c r="C4" s="10" t="n"/>
      <c r="D4" s="10" t="n"/>
      <c r="E4" s="10" t="n"/>
      <c r="F4" s="10" t="n"/>
      <c r="G4" s="10" t="n"/>
    </row>
    <row r="5">
      <c r="A5" t="inlineStr">
        <is>
          <t>SAFE amount</t>
        </is>
      </c>
      <c r="B5" s="30">
        <f>Drivers!$B$56</f>
        <v/>
      </c>
    </row>
    <row r="6">
      <c r="A6" t="inlineStr">
        <is>
          <t>Post-money valuation cap</t>
        </is>
      </c>
      <c r="B6" s="30">
        <f>Drivers!$B$57</f>
        <v/>
      </c>
    </row>
    <row r="7">
      <c r="A7" t="inlineStr">
        <is>
          <t>SAFE ownership at conversion</t>
        </is>
      </c>
      <c r="B7" s="15">
        <f>B5/B6</f>
        <v/>
      </c>
    </row>
    <row r="8">
      <c r="A8" t="inlineStr">
        <is>
          <t>Founder shares</t>
        </is>
      </c>
      <c r="B8" s="13">
        <f>Drivers!$B$58</f>
        <v/>
      </c>
    </row>
    <row r="9">
      <c r="A9" t="inlineStr">
        <is>
          <t>SAFE shares issued at conversion</t>
        </is>
      </c>
      <c r="B9" s="13">
        <f>B8*B7/(1-B7)</f>
        <v/>
      </c>
    </row>
    <row r="10">
      <c r="A10" t="inlineStr">
        <is>
          <t>Founder ownership post-conversion</t>
        </is>
      </c>
      <c r="B10" s="15">
        <f>B8/(B8+B9)</f>
        <v/>
      </c>
      <c r="E10" s="4" t="inlineStr">
        <is>
          <t>excl. any option pool created at the priced round</t>
        </is>
      </c>
    </row>
    <row r="12">
      <c r="A12" s="9" t="inlineStr">
        <is>
          <t>FOUNDER OWNERSHIP GRID — raise ($) × post-money cap ($)</t>
        </is>
      </c>
      <c r="B12" s="10" t="n"/>
      <c r="C12" s="10" t="n"/>
      <c r="D12" s="10" t="n"/>
      <c r="E12" s="10" t="n"/>
      <c r="F12" s="10" t="n"/>
      <c r="G12" s="10" t="n"/>
    </row>
    <row r="13">
      <c r="A13" s="12" t="inlineStr">
        <is>
          <t>raise ↓ / cap →</t>
        </is>
      </c>
      <c r="B13" s="30" t="n">
        <v>1000000</v>
      </c>
      <c r="C13" s="30" t="n">
        <v>2000000</v>
      </c>
      <c r="D13" s="30" t="n">
        <v>3000000</v>
      </c>
      <c r="E13" s="30" t="n">
        <v>5000000</v>
      </c>
    </row>
    <row r="14">
      <c r="A14" s="30" t="n">
        <v>50000</v>
      </c>
      <c r="B14" s="27">
        <f>1-50000/1000000</f>
        <v/>
      </c>
      <c r="C14" s="27">
        <f>1-50000/2000000</f>
        <v/>
      </c>
      <c r="D14" s="27">
        <f>1-50000/3000000</f>
        <v/>
      </c>
      <c r="E14" s="27">
        <f>1-50000/5000000</f>
        <v/>
      </c>
    </row>
    <row r="15">
      <c r="A15" s="30" t="n">
        <v>100000</v>
      </c>
      <c r="B15" s="27">
        <f>1-100000/1000000</f>
        <v/>
      </c>
      <c r="C15" s="27">
        <f>1-100000/2000000</f>
        <v/>
      </c>
      <c r="D15" s="27">
        <f>1-100000/3000000</f>
        <v/>
      </c>
      <c r="E15" s="27">
        <f>1-100000/5000000</f>
        <v/>
      </c>
    </row>
    <row r="16">
      <c r="A16" s="30" t="n">
        <v>150000</v>
      </c>
      <c r="B16" s="27">
        <f>1-150000/1000000</f>
        <v/>
      </c>
      <c r="C16" s="27">
        <f>1-150000/2000000</f>
        <v/>
      </c>
      <c r="D16" s="27">
        <f>1-150000/3000000</f>
        <v/>
      </c>
      <c r="E16" s="27">
        <f>1-150000/5000000</f>
        <v/>
      </c>
    </row>
    <row r="17">
      <c r="A17" s="30" t="n">
        <v>250000</v>
      </c>
      <c r="B17" s="27">
        <f>1-250000/1000000</f>
        <v/>
      </c>
      <c r="C17" s="27">
        <f>1-250000/2000000</f>
        <v/>
      </c>
      <c r="D17" s="27">
        <f>1-250000/3000000</f>
        <v/>
      </c>
      <c r="E17" s="27">
        <f>1-250000/5000000</f>
        <v/>
      </c>
    </row>
    <row r="19">
      <c r="A19" s="9" t="inlineStr">
        <is>
          <t>IMPLIED VALUATION — forward ARR × revenue multiple (live)</t>
        </is>
      </c>
      <c r="B19" s="10" t="n"/>
      <c r="C19" s="10" t="n"/>
      <c r="D19" s="10" t="n"/>
      <c r="E19" s="10" t="n"/>
      <c r="F19" s="10" t="n"/>
      <c r="G19" s="10" t="n"/>
    </row>
    <row r="20">
      <c r="A20" s="12" t="inlineStr">
        <is>
          <t>ARR point ↓ / multiple →</t>
        </is>
      </c>
      <c r="B20" s="34" t="n">
        <v>3</v>
      </c>
      <c r="C20" s="34" t="n">
        <v>5</v>
      </c>
      <c r="D20" s="34" t="n">
        <v>7</v>
      </c>
      <c r="E20" s="34" t="n">
        <v>10</v>
      </c>
    </row>
    <row r="21">
      <c r="A21" s="12" t="inlineStr">
        <is>
          <t>ARR at M12</t>
        </is>
      </c>
      <c r="B21" s="24">
        <f>'Rev Build'!M25*3</f>
        <v/>
      </c>
      <c r="C21" s="24">
        <f>'Rev Build'!M25*5</f>
        <v/>
      </c>
      <c r="D21" s="24">
        <f>'Rev Build'!M25*7</f>
        <v/>
      </c>
      <c r="E21" s="24">
        <f>'Rev Build'!M25*10</f>
        <v/>
      </c>
    </row>
    <row r="22">
      <c r="A22" s="12" t="inlineStr">
        <is>
          <t>ARR at M24</t>
        </is>
      </c>
      <c r="B22" s="24">
        <f>'Rev Build'!Y25*3</f>
        <v/>
      </c>
      <c r="C22" s="24">
        <f>'Rev Build'!Y25*5</f>
        <v/>
      </c>
      <c r="D22" s="24">
        <f>'Rev Build'!Y25*7</f>
        <v/>
      </c>
      <c r="E22" s="24">
        <f>'Rev Build'!Y25*10</f>
        <v/>
      </c>
    </row>
    <row r="23">
      <c r="A23" s="12" t="inlineStr">
        <is>
          <t>ARR at M36</t>
        </is>
      </c>
      <c r="B23" s="24">
        <f>'Rev Build'!AK25*3</f>
        <v/>
      </c>
      <c r="C23" s="24">
        <f>'Rev Build'!AK25*5</f>
        <v/>
      </c>
      <c r="D23" s="24">
        <f>'Rev Build'!AK25*7</f>
        <v/>
      </c>
      <c r="E23" s="24">
        <f>'Rev Build'!AK25*10</f>
        <v/>
      </c>
    </row>
    <row r="24">
      <c r="A24" s="4" t="inlineStr">
        <is>
          <t>Context: small prosumer-data/signals SaaS typically trades 3–7× ARR; premium growth 8–12×.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60" customWidth="1" min="3" max="3"/>
  </cols>
  <sheetData>
    <row r="1">
      <c r="A1" s="7" t="inlineStr">
        <is>
          <t>narve.ai — Model Checks</t>
        </is>
      </c>
    </row>
    <row r="2">
      <c r="A2" s="8" t="inlineStr">
        <is>
          <t>All rows must read OK / 0.</t>
        </is>
      </c>
    </row>
    <row r="4">
      <c r="A4" t="inlineStr">
        <is>
          <t>Balance sheet tie-out — max |assets − (L+E)| across M1–M36</t>
        </is>
      </c>
      <c r="B4" s="33">
        <f>MAX(MAX('Cash Flow &amp; BS'!B21:AK21),-MIN('Cash Flow &amp; BS'!B21:AK21))</f>
        <v/>
      </c>
      <c r="C4" s="4" t="inlineStr">
        <is>
          <t>must be 0</t>
        </is>
      </c>
    </row>
    <row r="5">
      <c r="A5" t="inlineStr">
        <is>
          <t>Product mix sums to 100%</t>
        </is>
      </c>
      <c r="B5" s="36">
        <f>Drivers!$B$17+Drivers!$B$18+Drivers!$B$19</f>
        <v/>
      </c>
      <c r="C5" s="4" t="inlineStr">
        <is>
          <t>must be 100%</t>
        </is>
      </c>
    </row>
    <row r="6">
      <c r="A6" t="inlineStr">
        <is>
          <t>Minimum ending cash across M1–M36</t>
        </is>
      </c>
      <c r="B6" s="30">
        <f>MIN('Cash Flow &amp; BS'!B12:AK12)</f>
        <v/>
      </c>
      <c r="C6" s="4" t="inlineStr">
        <is>
          <t>if negative, increase 'SAFE proceeds raised' on Drivers</t>
        </is>
      </c>
    </row>
    <row r="7">
      <c r="A7" t="inlineStr">
        <is>
          <t>Cash sufficiency flag</t>
        </is>
      </c>
      <c r="B7" s="12">
        <f>IF(MIN('Cash Flow &amp; BS'!B12:AK12)&lt;0,"FAIL — raise more","OK")</f>
        <v/>
      </c>
      <c r="C7" s="4" t="inlineStr"/>
    </row>
    <row r="8">
      <c r="A8" t="inlineStr">
        <is>
          <t>Gross margin M24 (should exceed 70% for SaaS story)</t>
        </is>
      </c>
      <c r="B8" s="15">
        <f>'Income Statement'!Y8</f>
        <v/>
      </c>
      <c r="C8" s="4" t="inlineStr"/>
    </row>
    <row r="9">
      <c r="A9" t="inlineStr">
        <is>
          <t>EBITDA-positive month count (of 36)</t>
        </is>
      </c>
      <c r="B9" s="13">
        <f>COUNTIF('Income Statement'!B14:AK14,"&gt;0")</f>
        <v/>
      </c>
      <c r="C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2026-07-02T11:47:15Z</dcterms:created>
  <dcterms:modified xsi:type="dcterms:W3CDTF">2026-07-02T11:47:15Z</dcterms:modified>
</cp:coreProperties>
</file>