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Drivers" sheetId="2" state="visible" r:id="rId2"/>
    <sheet name="Pricing Data" sheetId="3" state="visible" r:id="rId3"/>
    <sheet name="Rev Build" sheetId="4" state="visible" r:id="rId4"/>
    <sheet name="Opex" sheetId="5" state="visible" r:id="rId5"/>
    <sheet name="Income Statement" sheetId="6" state="visible" r:id="rId6"/>
    <sheet name="Cash Flow &amp; BS" sheetId="7" state="visible" r:id="rId7"/>
    <sheet name="Annual &amp; KPIs" sheetId="8" state="visible" r:id="rId8"/>
    <sheet name="Dashboard" sheetId="9" state="visible" r:id="rId9"/>
    <sheet name="Sensitivity" sheetId="10" state="visible" r:id="rId10"/>
    <sheet name="Cap Table &amp; Valuation" sheetId="11" state="visible" r:id="rId11"/>
    <sheet name="Che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"/>
    <numFmt numFmtId="165" formatCode="#,##0;[Red](#,##0)"/>
    <numFmt numFmtId="166" formatCode="#,##0.00;[Red](#,##0.00)"/>
    <numFmt numFmtId="167" formatCode="0.0"/>
    <numFmt numFmtId="168" formatCode="0.0&quot;x&quot;"/>
  </numFmts>
  <fonts count="14">
    <font>
      <name val="Calibri"/>
      <family val="2"/>
      <color theme="1"/>
      <sz val="11"/>
      <scheme val="minor"/>
    </font>
    <font>
      <b val="1"/>
      <color rgb="001F3864"/>
      <sz val="24"/>
    </font>
    <font>
      <color rgb="00595959"/>
      <sz val="12"/>
    </font>
    <font>
      <b val="1"/>
      <sz val="11"/>
    </font>
    <font>
      <color rgb="00595959"/>
      <sz val="9"/>
    </font>
    <font>
      <b val="1"/>
      <color rgb="001F3864"/>
      <sz val="11"/>
    </font>
    <font>
      <i val="1"/>
      <color rgb="00808080"/>
      <sz val="9"/>
    </font>
    <font>
      <b val="1"/>
      <color rgb="001F3864"/>
      <sz val="14"/>
    </font>
    <font>
      <i val="1"/>
      <color rgb="00595959"/>
      <sz val="9"/>
    </font>
    <font>
      <color rgb="000000CC"/>
    </font>
    <font>
      <b val="1"/>
    </font>
    <font>
      <b val="1"/>
      <color rgb="00FFFFFF"/>
    </font>
    <font>
      <color rgb="00007000"/>
    </font>
    <font>
      <b val="1"/>
      <color rgb="0000700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bottom style="thin">
        <color rgb="008EAAD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1" fontId="9" fillId="3" borderId="0" pivotButton="0" quotePrefix="0" xfId="0"/>
    <xf numFmtId="0" fontId="10" fillId="0" borderId="0" pivotButton="0" quotePrefix="0" xfId="0"/>
    <xf numFmtId="3" fontId="9" fillId="3" borderId="0" pivotButton="0" quotePrefix="0" xfId="0"/>
    <xf numFmtId="3" fontId="10" fillId="0" borderId="0" pivotButton="0" quotePrefix="0" xfId="0"/>
    <xf numFmtId="164" fontId="10" fillId="0" borderId="0" pivotButton="0" quotePrefix="0" xfId="0"/>
    <xf numFmtId="164" fontId="9" fillId="3" borderId="0" pivotButton="0" quotePrefix="0" xfId="0"/>
    <xf numFmtId="165" fontId="10" fillId="0" borderId="0" pivotButton="0" quotePrefix="0" xfId="0"/>
    <xf numFmtId="165" fontId="9" fillId="3" borderId="0" pivotButton="0" quotePrefix="0" xfId="0"/>
    <xf numFmtId="166" fontId="9" fillId="3" borderId="0" pivotButton="0" quotePrefix="0" xfId="0"/>
    <xf numFmtId="9" fontId="9" fillId="3" borderId="0" pivotButton="0" quotePrefix="0" xfId="0"/>
    <xf numFmtId="166" fontId="10" fillId="0" borderId="0" pivotButton="0" quotePrefix="0" xfId="0"/>
    <xf numFmtId="167" fontId="9" fillId="3" borderId="0" pivotButton="0" quotePrefix="0" xfId="0"/>
    <xf numFmtId="0" fontId="10" fillId="0" borderId="1" pivotButton="0" quotePrefix="0" xfId="0"/>
    <xf numFmtId="166" fontId="0" fillId="0" borderId="0" pivotButton="0" quotePrefix="0" xfId="0"/>
    <xf numFmtId="0" fontId="11" fillId="4" borderId="0" pivotButton="0" quotePrefix="0" xfId="0"/>
    <xf numFmtId="0" fontId="11" fillId="4" borderId="0" applyAlignment="1" pivotButton="0" quotePrefix="0" xfId="0">
      <alignment horizontal="center"/>
    </xf>
    <xf numFmtId="165" fontId="0" fillId="0" borderId="0" pivotButton="0" quotePrefix="0" xfId="0"/>
    <xf numFmtId="0" fontId="10" fillId="5" borderId="0" pivotButton="0" quotePrefix="0" xfId="0"/>
    <xf numFmtId="165" fontId="10" fillId="5" borderId="0" pivotButton="0" quotePrefix="0" xfId="0"/>
    <xf numFmtId="165" fontId="12" fillId="0" borderId="0" pivotButton="0" quotePrefix="0" xfId="0"/>
    <xf numFmtId="165" fontId="13" fillId="0" borderId="0" pivotButton="0" quotePrefix="0" xfId="0"/>
    <xf numFmtId="164" fontId="0" fillId="0" borderId="0" pivotButton="0" quotePrefix="0" xfId="0"/>
    <xf numFmtId="0" fontId="10" fillId="6" borderId="0" pivotButton="0" quotePrefix="0" xfId="0"/>
    <xf numFmtId="165" fontId="0" fillId="6" borderId="0" pivotButton="0" quotePrefix="0" xfId="0"/>
    <xf numFmtId="168" fontId="10" fillId="0" borderId="0" pivotButton="0" quotePrefix="0" xfId="0"/>
    <xf numFmtId="167" fontId="10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Recognized revenue vs billings ($/mo)</a:t>
            </a:r>
          </a:p>
        </rich>
      </tx>
    </title>
    <plotArea>
      <lineChart>
        <grouping val="standard"/>
        <ser>
          <idx val="0"/>
          <order val="0"/>
          <tx>
            <v>Recognized revenue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'Rev Build'!$B$24:$AK$24</f>
            </numRef>
          </val>
          <smooth val="0"/>
        </ser>
        <ser>
          <idx val="1"/>
          <order val="1"/>
          <tx>
            <v>Billings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'Rev Build'!$B$27:$AK$27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Ending cash ($)</a:t>
            </a:r>
          </a:p>
        </rich>
      </tx>
    </title>
    <plotArea>
      <lineChart>
        <grouping val="standard"/>
        <ser>
          <idx val="0"/>
          <order val="0"/>
          <tx>
            <v>Ending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'Cash Flow &amp; BS'!$B$13:$AK$13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Subscribers (monthly vs annual pool)</a:t>
            </a:r>
          </a:p>
        </rich>
      </tx>
    </title>
    <plotArea>
      <lineChart>
        <grouping val="standard"/>
        <ser>
          <idx val="0"/>
          <order val="0"/>
          <tx>
            <v>Monthly pool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'Rev Build'!$B$16:$AK$16</f>
            </numRef>
          </val>
          <smooth val="0"/>
        </ser>
        <ser>
          <idx val="1"/>
          <order val="1"/>
          <tx>
            <v>Annual pool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'Rev Build'!$B$21:$AK$21</f>
            </numRef>
          </val>
          <smooth val="0"/>
        </ser>
        <ser>
          <idx val="2"/>
          <order val="2"/>
          <tx>
            <v>Total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'Rev Build'!$B$23:$AK$23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subs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EBITDA ($/mo)</a:t>
            </a:r>
          </a:p>
        </rich>
      </tx>
    </title>
    <plotArea>
      <lineChart>
        <grouping val="standard"/>
        <ser>
          <idx val="0"/>
          <order val="0"/>
          <tx>
            <v>EBITDA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 Build'!$B$4:$AK$4</f>
            </numRef>
          </cat>
          <val>
            <numRef>
              <f>'Income Statement'!$B$14:$AK$14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86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21</row>
      <rowOff>0</rowOff>
    </from>
    <ext cx="86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57</row>
      <rowOff>0</rowOff>
    </from>
    <ext cx="86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t="inlineStr"/>
    </row>
    <row r="3">
      <c r="B3" s="1" t="inlineStr">
        <is>
          <t>NARVE.AI</t>
        </is>
      </c>
    </row>
    <row r="4">
      <c r="B4" s="2" t="inlineStr">
        <is>
          <t>Prediction-Market Analytics SaaS + Proprietary Model Training</t>
        </is>
      </c>
    </row>
    <row r="5">
      <c r="B5" s="3" t="inlineStr">
        <is>
          <t>Operating Model &amp; Financing Analysis — v4 (36 months, monthly)</t>
        </is>
      </c>
    </row>
    <row r="6">
      <c r="B6" s="4" t="inlineStr">
        <is>
          <t>Prepared July 2, 2026 · Third-party prices verified against official sources as of 2026-07-02</t>
        </is>
      </c>
    </row>
    <row r="7">
      <c r="B7" t="inlineStr"/>
    </row>
    <row r="8">
      <c r="B8" s="5" t="inlineStr">
        <is>
          <t>WHAT CHANGED IN v4 (REALISM)</t>
        </is>
      </c>
    </row>
    <row r="9">
      <c r="B9" t="inlineStr">
        <is>
          <t xml:space="preserve">  Growth now costs money: gross adds = invite trickle (pre-launch) + organic ramp + marketing spend ÷ CAC.</t>
        </is>
      </c>
    </row>
    <row r="10">
      <c r="B10" t="inlineStr">
        <is>
          <t xml:space="preserve">  Public launch is delayed (default M3) — time to open the invite gate, fix Stripe renewals, get the regulatory memo.</t>
        </is>
      </c>
    </row>
    <row r="11">
      <c r="B11" t="inlineStr">
        <is>
          <t xml:space="preserve">  Monthly subscribers suffer first-month activation churn; annual subscribers churn only at renewal.</t>
        </is>
      </c>
    </row>
    <row r="12">
      <c r="B12" t="inlineStr">
        <is>
          <t xml:space="preserve">  Annual prepay (default 20% of adds, ~2 months free) drives billings ≠ revenue and a deferred-revenue liability.</t>
        </is>
      </c>
    </row>
    <row r="13">
      <c r="B13" t="inlineStr">
        <is>
          <t xml:space="preserve">  Serving our own trained models costs GPU inference (g6.xlarge reserved) from launch; support tooling scales per sub.</t>
        </is>
      </c>
    </row>
    <row r="14">
      <c r="B14" t="inlineStr"/>
    </row>
    <row r="15">
      <c r="B15" s="5" t="inlineStr">
        <is>
          <t>CONTENTS</t>
        </is>
      </c>
    </row>
    <row r="16">
      <c r="B16" t="inlineStr">
        <is>
          <t xml:space="preserve">  Drivers · Pricing Data · Rev Build (funnel + two payment pools) · Opex · Income Statement ·</t>
        </is>
      </c>
    </row>
    <row r="17">
      <c r="B17" t="inlineStr">
        <is>
          <t xml:space="preserve">  Cash Flow &amp; BS (deferred revenue, SAFE) · Annual &amp; KPIs · Dashboard (charts) · Sensitivity ·</t>
        </is>
      </c>
    </row>
    <row r="18">
      <c r="B18" t="inlineStr">
        <is>
          <t xml:space="preserve">  Cap Table &amp; Valuation · Checks</t>
        </is>
      </c>
    </row>
    <row r="19">
      <c r="B19" t="inlineStr"/>
    </row>
    <row r="20">
      <c r="B20" s="5" t="inlineStr">
        <is>
          <t>CONVENTIONS</t>
        </is>
      </c>
    </row>
    <row r="21">
      <c r="B21" t="inlineStr">
        <is>
          <t xml:space="preserve">  Blue on yellow = input · Black = calculation · Green = cross-sheet link · Negatives in red parentheses</t>
        </is>
      </c>
    </row>
    <row r="22">
      <c r="B22" t="inlineStr">
        <is>
          <t xml:space="preserve">  Currency USD · M1–M36 = Aug-26 through Jul-29 · Scenario switch and training-plan toggle live on Drivers</t>
        </is>
      </c>
    </row>
    <row r="23">
      <c r="B23" t="inlineStr"/>
    </row>
    <row r="24">
      <c r="B24" s="5" t="inlineStr">
        <is>
          <t>KEY MODEL CHOICES</t>
        </is>
      </c>
    </row>
    <row r="25">
      <c r="B25" t="inlineStr">
        <is>
          <t xml:space="preserve">  Founder salary is an input, default $0 (set it when funded; investors usually prefer a modest salary).</t>
        </is>
      </c>
    </row>
    <row r="26">
      <c r="B26" t="inlineStr">
        <is>
          <t xml:space="preserve">  GPU training = R&amp;D opex (rented, no capex/D&amp;A). Taxes $0 (NOLs). Stripe fees expensed as incurred.</t>
        </is>
      </c>
    </row>
    <row r="27">
      <c r="B27" t="inlineStr">
        <is>
          <t xml:space="preserve">  Failed-payment (involuntary) churn is folded into the monthly churn rate.</t>
        </is>
      </c>
    </row>
    <row r="28">
      <c r="B28" t="inlineStr">
        <is>
          <t xml:space="preserve">  SAFE proceeds land in M1; carried as a liability until conversion (Cap Table).</t>
        </is>
      </c>
    </row>
    <row r="29">
      <c r="B29" t="inlineStr"/>
    </row>
    <row r="30">
      <c r="B30" s="6" t="inlineStr">
        <is>
          <t>This model is a planning tool, not investment advice. Verify prices before committing spend.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2" customWidth="1" min="3" max="3"/>
    <col width="12" customWidth="1" min="4" max="4"/>
    <col width="12" customWidth="1" min="5" max="5"/>
    <col width="70" customWidth="1" min="6" max="6"/>
  </cols>
  <sheetData>
    <row r="1">
      <c r="A1" s="7" t="inlineStr">
        <is>
          <t>narve.ai — Drivers</t>
        </is>
      </c>
    </row>
    <row r="2">
      <c r="A2" s="8" t="inlineStr">
        <is>
          <t>Blue-on-yellow cells are the only inputs. The Active column follows the scenario switch.</t>
        </is>
      </c>
    </row>
    <row r="4">
      <c r="A4" s="9" t="inlineStr">
        <is>
          <t>SWITCHES</t>
        </is>
      </c>
      <c r="B4" s="10" t="n"/>
      <c r="C4" s="10" t="n"/>
      <c r="D4" s="10" t="n"/>
      <c r="E4" s="10" t="n"/>
      <c r="F4" s="10" t="n"/>
    </row>
    <row r="5">
      <c r="A5" t="inlineStr">
        <is>
          <t>Scenario (1 Bear / 2 Base / 3 Bull)</t>
        </is>
      </c>
      <c r="B5" s="11" t="n">
        <v>2</v>
      </c>
      <c r="F5" s="4" t="inlineStr">
        <is>
          <t>drives the scenario columns below</t>
        </is>
      </c>
    </row>
    <row r="6">
      <c r="A6" t="inlineStr">
        <is>
          <t>Training plan (1 Fine-tune / 2 Scale)</t>
        </is>
      </c>
      <c r="B6" s="11" t="n">
        <v>1</v>
      </c>
      <c r="F6" s="4" t="inlineStr">
        <is>
          <t>2 adds H100 Capacity-Block weeks, A100 spot, ML contractor</t>
        </is>
      </c>
    </row>
    <row r="7">
      <c r="A7" t="inlineStr">
        <is>
          <t>Public launch month</t>
        </is>
      </c>
      <c r="B7" s="11" t="n">
        <v>3</v>
      </c>
      <c r="F7" s="4" t="inlineStr">
        <is>
          <t>before this: invite trickle only, no marketing, no inference cost</t>
        </is>
      </c>
    </row>
    <row r="8">
      <c r="A8" s="9" t="inlineStr">
        <is>
          <t>ACQUISITION FUNNEL (per scenario: Bear / Base / Bull)</t>
        </is>
      </c>
      <c r="B8" s="10" t="n"/>
      <c r="C8" s="10" t="n"/>
      <c r="D8" s="10" t="n"/>
      <c r="E8" s="10" t="n"/>
      <c r="F8" s="10" t="n"/>
    </row>
    <row r="9">
      <c r="B9" s="12" t="inlineStr">
        <is>
          <t>Active</t>
        </is>
      </c>
      <c r="C9" s="12" t="inlineStr">
        <is>
          <t>Bear</t>
        </is>
      </c>
      <c r="D9" s="12" t="inlineStr">
        <is>
          <t>Base</t>
        </is>
      </c>
      <c r="E9" s="12" t="inlineStr">
        <is>
          <t>Bull</t>
        </is>
      </c>
    </row>
    <row r="10">
      <c r="A10" t="inlineStr">
        <is>
          <t>Invite trickle pre-launch, adds/mo</t>
        </is>
      </c>
      <c r="B10" s="13" t="n">
        <v>4</v>
      </c>
      <c r="F10" s="4" t="inlineStr">
        <is>
          <t>word-of-mouth invites while gated</t>
        </is>
      </c>
    </row>
    <row r="11">
      <c r="A11" t="inlineStr">
        <is>
          <t>Organic adds at launch, /mo</t>
        </is>
      </c>
      <c r="B11" s="14">
        <f>INDEX($C$11:$E$11,1,Drivers!$B$5)</f>
        <v/>
      </c>
      <c r="C11" s="13" t="n">
        <v>6</v>
      </c>
      <c r="D11" s="13" t="n">
        <v>10</v>
      </c>
      <c r="E11" s="13" t="n">
        <v>18</v>
      </c>
      <c r="F11" s="4" t="inlineStr">
        <is>
          <t>SEO, embeds, word of mouth at open signup</t>
        </is>
      </c>
    </row>
    <row r="12">
      <c r="A12" t="inlineStr">
        <is>
          <t>Organic growth, %/mo</t>
        </is>
      </c>
      <c r="B12" s="15">
        <f>INDEX($C$12:$E$12,1,Drivers!$B$5)</f>
        <v/>
      </c>
      <c r="C12" s="16" t="n">
        <v>0.04</v>
      </c>
      <c r="D12" s="16" t="n">
        <v>0.08</v>
      </c>
      <c r="E12" s="16" t="n">
        <v>0.12</v>
      </c>
      <c r="F12" s="4" t="inlineStr">
        <is>
          <t>content/embeds compounding</t>
        </is>
      </c>
    </row>
    <row r="13">
      <c r="A13" t="inlineStr">
        <is>
          <t>Organic adds cap, /mo</t>
        </is>
      </c>
      <c r="B13" s="13" t="n">
        <v>200</v>
      </c>
      <c r="F13" s="4" t="inlineStr">
        <is>
          <t>ceiling on unpaid acquisition</t>
        </is>
      </c>
    </row>
    <row r="14">
      <c r="A14" t="inlineStr">
        <is>
          <t>Marketing spend at launch, $/mo</t>
        </is>
      </c>
      <c r="B14" s="17">
        <f>INDEX($C$14:$E$14,1,Drivers!$B$5)</f>
        <v/>
      </c>
      <c r="C14" s="18" t="n">
        <v>500</v>
      </c>
      <c r="D14" s="18" t="n">
        <v>1000</v>
      </c>
      <c r="E14" s="18" t="n">
        <v>2000</v>
      </c>
      <c r="F14" s="4" t="inlineStr">
        <is>
          <t>paid acquisition budget, first month of launch</t>
        </is>
      </c>
    </row>
    <row r="15">
      <c r="A15" t="inlineStr">
        <is>
          <t>Marketing growth, %/mo</t>
        </is>
      </c>
      <c r="B15" s="15">
        <f>INDEX($C$15:$E$15,1,Drivers!$B$5)</f>
        <v/>
      </c>
      <c r="C15" s="16" t="n">
        <v>0.05</v>
      </c>
      <c r="D15" s="16" t="n">
        <v>0.1</v>
      </c>
      <c r="E15" s="16" t="n">
        <v>0.15</v>
      </c>
      <c r="F15" s="4" t="inlineStr">
        <is>
          <t>budget ramp while CAC holds</t>
        </is>
      </c>
    </row>
    <row r="16">
      <c r="A16" t="inlineStr">
        <is>
          <t>Marketing cap, $/mo</t>
        </is>
      </c>
      <c r="B16" s="17">
        <f>INDEX($C$16:$E$16,1,Drivers!$B$5)</f>
        <v/>
      </c>
      <c r="C16" s="18" t="n">
        <v>2000</v>
      </c>
      <c r="D16" s="18" t="n">
        <v>5000</v>
      </c>
      <c r="E16" s="18" t="n">
        <v>10000</v>
      </c>
      <c r="F16" s="4" t="inlineStr">
        <is>
          <t>budget ceiling</t>
        </is>
      </c>
    </row>
    <row r="17">
      <c r="A17" t="inlineStr">
        <is>
          <t>CAC (paid), $/subscriber</t>
        </is>
      </c>
      <c r="B17" s="17">
        <f>INDEX($C$17:$E$17,1,Drivers!$B$5)</f>
        <v/>
      </c>
      <c r="C17" s="18" t="n">
        <v>90</v>
      </c>
      <c r="D17" s="18" t="n">
        <v>60</v>
      </c>
      <c r="E17" s="18" t="n">
        <v>35</v>
      </c>
      <c r="F17" s="4" t="inlineStr">
        <is>
          <t>prosumer fintech/trading SaaS blended paid CAC</t>
        </is>
      </c>
    </row>
    <row r="18">
      <c r="A18" s="9" t="inlineStr">
        <is>
          <t>RETENTION</t>
        </is>
      </c>
      <c r="B18" s="10" t="n"/>
      <c r="C18" s="10" t="n"/>
      <c r="D18" s="10" t="n"/>
      <c r="E18" s="10" t="n"/>
      <c r="F18" s="10" t="n"/>
    </row>
    <row r="19">
      <c r="A19" t="inlineStr">
        <is>
          <t>Monthly churn (ongoing, incl. failed payments)</t>
        </is>
      </c>
      <c r="B19" s="15">
        <f>INDEX($C$19:$E$19,1,Drivers!$B$5)</f>
        <v/>
      </c>
      <c r="C19" s="16" t="n">
        <v>0.08</v>
      </c>
      <c r="D19" s="16" t="n">
        <v>0.06</v>
      </c>
      <c r="E19" s="16" t="n">
        <v>0.045</v>
      </c>
      <c r="F19" s="4" t="inlineStr">
        <is>
          <t>monthly-pool churn after month 1</t>
        </is>
      </c>
    </row>
    <row r="20">
      <c r="A20" t="inlineStr">
        <is>
          <t>First-month activation drop</t>
        </is>
      </c>
      <c r="B20" s="15">
        <f>INDEX($C$20:$E$20,1,Drivers!$B$5)</f>
        <v/>
      </c>
      <c r="C20" s="16" t="n">
        <v>0.2</v>
      </c>
      <c r="D20" s="16" t="n">
        <v>0.15</v>
      </c>
      <c r="E20" s="16" t="n">
        <v>0.1</v>
      </c>
      <c r="F20" s="4" t="inlineStr">
        <is>
          <t>share of new monthly subs gone within month 1</t>
        </is>
      </c>
    </row>
    <row r="21">
      <c r="A21" t="inlineStr">
        <is>
          <t>Annual non-renewal rate</t>
        </is>
      </c>
      <c r="B21" s="15">
        <f>INDEX($C$21:$E$21,1,Drivers!$B$5)</f>
        <v/>
      </c>
      <c r="C21" s="16" t="n">
        <v>0.45</v>
      </c>
      <c r="D21" s="16" t="n">
        <v>0.35</v>
      </c>
      <c r="E21" s="16" t="n">
        <v>0.25</v>
      </c>
      <c r="F21" s="4" t="inlineStr">
        <is>
          <t>share of annual subs not renewing at month 12</t>
        </is>
      </c>
    </row>
    <row r="22">
      <c r="A22" s="9" t="inlineStr">
        <is>
          <t>PRICING &amp; MIX (from gateway/config.json)</t>
        </is>
      </c>
      <c r="B22" s="10" t="n"/>
      <c r="C22" s="10" t="n"/>
      <c r="D22" s="10" t="n"/>
      <c r="E22" s="10" t="n"/>
      <c r="F22" s="10" t="n"/>
    </row>
    <row r="23">
      <c r="A23" t="inlineStr">
        <is>
          <t>Weather price, $/mo</t>
        </is>
      </c>
      <c r="B23" s="19" t="n">
        <v>7.99</v>
      </c>
      <c r="F23" s="4" t="inlineStr">
        <is>
          <t>live Stripe price</t>
        </is>
      </c>
    </row>
    <row r="24">
      <c r="A24" t="inlineStr">
        <is>
          <t>Market Edge price, $/mo</t>
        </is>
      </c>
      <c r="B24" s="19" t="n">
        <v>9.99</v>
      </c>
      <c r="F24" s="4" t="inlineStr">
        <is>
          <t>live Stripe price (incl. StockSignal)</t>
        </is>
      </c>
    </row>
    <row r="25">
      <c r="A25" t="inlineStr">
        <is>
          <t>Midterm price, $/mo</t>
        </is>
      </c>
      <c r="B25" s="19" t="n">
        <v>14.99</v>
      </c>
      <c r="F25" s="4" t="inlineStr">
        <is>
          <t>live Stripe price</t>
        </is>
      </c>
    </row>
    <row r="26">
      <c r="A26" t="inlineStr">
        <is>
          <t>Mix — Weather</t>
        </is>
      </c>
      <c r="B26" s="20" t="n">
        <v>0.25</v>
      </c>
      <c r="F26" s="4" t="inlineStr">
        <is>
          <t>share of gross adds</t>
        </is>
      </c>
    </row>
    <row r="27">
      <c r="A27" t="inlineStr">
        <is>
          <t>Mix — Market Edge</t>
        </is>
      </c>
      <c r="B27" s="20" t="n">
        <v>0.4</v>
      </c>
      <c r="F27" s="4" t="inlineStr">
        <is>
          <t>share of gross adds</t>
        </is>
      </c>
    </row>
    <row r="28">
      <c r="A28" t="inlineStr">
        <is>
          <t>Mix — Midterm</t>
        </is>
      </c>
      <c r="B28" s="20" t="n">
        <v>0.35</v>
      </c>
      <c r="F28" s="4" t="inlineStr">
        <is>
          <t>mixes must sum to 100% (Checks)</t>
        </is>
      </c>
    </row>
    <row r="29">
      <c r="A29" t="inlineStr">
        <is>
          <t>Blended list ARPU, $/mo</t>
        </is>
      </c>
      <c r="B29" s="21">
        <f>Drivers!$B$23*Drivers!$B$26+Drivers!$B$24*Drivers!$B$27+Drivers!$B$25*Drivers!$B$28</f>
        <v/>
      </c>
      <c r="F29" s="4" t="inlineStr">
        <is>
          <t>computed from prices × mix</t>
        </is>
      </c>
    </row>
    <row r="30">
      <c r="A30" t="inlineStr">
        <is>
          <t>Annual mix (share of adds prepaying yearly)</t>
        </is>
      </c>
      <c r="B30" s="20" t="n">
        <v>0.2</v>
      </c>
      <c r="F30" s="4" t="inlineStr">
        <is>
          <t>annual plans in config ≈ 2 months free</t>
        </is>
      </c>
    </row>
    <row r="31">
      <c r="A31" t="inlineStr">
        <is>
          <t>Annual price multiple (months paid)</t>
        </is>
      </c>
      <c r="B31" s="22" t="n">
        <v>9.9</v>
      </c>
      <c r="F31" s="4" t="inlineStr">
        <is>
          <t>annual price ≈ 9.9× monthly (config.json)</t>
        </is>
      </c>
    </row>
    <row r="32">
      <c r="A32" s="9" t="inlineStr">
        <is>
          <t>PAYMENTS</t>
        </is>
      </c>
      <c r="B32" s="10" t="n"/>
      <c r="C32" s="10" t="n"/>
      <c r="D32" s="10" t="n"/>
      <c r="E32" s="10" t="n"/>
      <c r="F32" s="10" t="n"/>
    </row>
    <row r="33">
      <c r="A33" t="inlineStr">
        <is>
          <t>Stripe % take</t>
        </is>
      </c>
      <c r="B33" s="16" t="n">
        <v>0.036</v>
      </c>
      <c r="F33" s="4" t="inlineStr">
        <is>
          <t>2.9% processing + 0.7% Billing, charged on billings</t>
        </is>
      </c>
    </row>
    <row r="34">
      <c r="A34" t="inlineStr">
        <is>
          <t>Stripe fixed, $/charge</t>
        </is>
      </c>
      <c r="B34" s="19" t="n">
        <v>0.3</v>
      </c>
      <c r="F34" s="4" t="inlineStr">
        <is>
          <t>per charge: monthly subs monthly, annual subs at purchase/renewal</t>
        </is>
      </c>
    </row>
    <row r="35">
      <c r="A35" s="9" t="inlineStr">
        <is>
          <t>GPU — TRAINING &amp; INFERENCE (verified us-east-1 rates)</t>
        </is>
      </c>
      <c r="B35" s="10" t="n"/>
      <c r="C35" s="10" t="n"/>
      <c r="D35" s="10" t="n"/>
      <c r="E35" s="10" t="n"/>
      <c r="F35" s="10" t="n"/>
    </row>
    <row r="36">
      <c r="A36" t="inlineStr">
        <is>
          <t>Single-GPU hrs/mo (g6e.xlarge L40S)</t>
        </is>
      </c>
      <c r="B36" s="13" t="n">
        <v>300</v>
      </c>
      <c r="F36" s="4" t="inlineStr">
        <is>
          <t>daily LoRA/QLoRA fine-tunes, evals, retraining</t>
        </is>
      </c>
    </row>
    <row r="37">
      <c r="A37" t="inlineStr">
        <is>
          <t>Single-GPU rate $/hr</t>
        </is>
      </c>
      <c r="B37" s="19" t="n">
        <v>1.861</v>
      </c>
      <c r="F37" s="4" t="inlineStr">
        <is>
          <t>on-demand; 1.1724 reserved, ~1.2 spot (&gt;20% interruption)</t>
        </is>
      </c>
    </row>
    <row r="38">
      <c r="A38" t="inlineStr">
        <is>
          <t>Multi-GPU hrs/mo (g6e.12xlarge 4×L40S)</t>
        </is>
      </c>
      <c r="B38" s="13" t="n">
        <v>80</v>
      </c>
      <c r="F38" s="4" t="inlineStr">
        <is>
          <t>weekly bigger runs</t>
        </is>
      </c>
    </row>
    <row r="39">
      <c r="A39" t="inlineStr">
        <is>
          <t>Multi-GPU rate $/hr</t>
        </is>
      </c>
      <c r="B39" s="19" t="n">
        <v>10.49</v>
      </c>
      <c r="F39" s="4" t="inlineStr">
        <is>
          <t>on-demand</t>
        </is>
      </c>
    </row>
    <row r="40">
      <c r="A40" t="inlineStr">
        <is>
          <t>H100 block hrs/mo — Scale plan</t>
        </is>
      </c>
      <c r="B40" s="13" t="n">
        <v>168</v>
      </c>
      <c r="F40" s="4" t="inlineStr">
        <is>
          <t>one p5.48xlarge Capacity-Block week/month when plan = 2</t>
        </is>
      </c>
    </row>
    <row r="41">
      <c r="A41" t="inlineStr">
        <is>
          <t>H100 block rate $/hr</t>
        </is>
      </c>
      <c r="B41" s="19" t="n">
        <v>41.53</v>
      </c>
      <c r="F41" s="4" t="inlineStr">
        <is>
          <t>$5.191/GPU-hr × 8, post Jul-2026 hike; floats</t>
        </is>
      </c>
    </row>
    <row r="42">
      <c r="A42" t="inlineStr">
        <is>
          <t>A100 spot hrs/mo — Scale plan</t>
        </is>
      </c>
      <c r="B42" s="13" t="n">
        <v>100</v>
      </c>
      <c r="F42" s="4" t="inlineStr">
        <is>
          <t>p4d.24xlarge spot when plan = 2</t>
        </is>
      </c>
    </row>
    <row r="43">
      <c r="A43" t="inlineStr">
        <is>
          <t>A100 spot rate $/hr</t>
        </is>
      </c>
      <c r="B43" s="19" t="n">
        <v>9.699999999999999</v>
      </c>
      <c r="F43" s="4" t="inlineStr">
        <is>
          <t>±30% volatility</t>
        </is>
      </c>
    </row>
    <row r="44">
      <c r="A44" t="inlineStr">
        <is>
          <t>Training storage &amp; transfer — Fine-tune, $/mo</t>
        </is>
      </c>
      <c r="B44" s="19" t="n">
        <v>56.5</v>
      </c>
      <c r="F44" s="4" t="inlineStr">
        <is>
          <t>500 GB S3 + 500 GB gp3 + misc</t>
        </is>
      </c>
    </row>
    <row r="45">
      <c r="A45" t="inlineStr">
        <is>
          <t>Training storage &amp; transfer — Scale, $/mo</t>
        </is>
      </c>
      <c r="B45" s="19" t="n">
        <v>146</v>
      </c>
      <c r="F45" s="4" t="inlineStr">
        <is>
          <t>2 TB S3 + 1 TB gp3 + egress</t>
        </is>
      </c>
    </row>
    <row r="46">
      <c r="A46" t="inlineStr">
        <is>
          <t>Inference serving from launch, $/mo</t>
        </is>
      </c>
      <c r="B46" s="19" t="n">
        <v>382</v>
      </c>
      <c r="F46" s="4" t="inlineStr">
        <is>
          <t>g6.xlarge 1-yr reserved ≈ $0.523/hr × 730 — serving our trained models</t>
        </is>
      </c>
    </row>
    <row r="47">
      <c r="A47" s="9" t="inlineStr">
        <is>
          <t>SERVING INFRA, APIS &amp; SUPPORT</t>
        </is>
      </c>
      <c r="B47" s="10" t="n"/>
      <c r="C47" s="10" t="n"/>
      <c r="D47" s="10" t="n"/>
      <c r="E47" s="10" t="n"/>
      <c r="F47" s="10" t="n"/>
    </row>
    <row r="48">
      <c r="A48" t="inlineStr">
        <is>
          <t>EC2 app server (t3.xlarge 1-yr RI)</t>
        </is>
      </c>
      <c r="B48" s="19" t="n">
        <v>76.14</v>
      </c>
      <c r="F48" s="4" t="inlineStr">
        <is>
          <t>verified us-east-1</t>
        </is>
      </c>
    </row>
    <row r="49">
      <c r="A49" t="inlineStr">
        <is>
          <t>EBS + snapshots + S3 backups</t>
        </is>
      </c>
      <c r="B49" s="19" t="n">
        <v>11.65</v>
      </c>
      <c r="F49" s="4" t="inlineStr">
        <is>
          <t>100 GB gp3 + 50 GB snap + 50 GB S3</t>
        </is>
      </c>
    </row>
    <row r="50">
      <c r="A50" t="inlineStr">
        <is>
          <t>Data transfer out</t>
        </is>
      </c>
      <c r="B50" s="19" t="n">
        <v>18</v>
      </c>
      <c r="F50" s="4" t="inlineStr">
        <is>
          <t>~300 GB/mo @ $0.09 after 100 GB free</t>
        </is>
      </c>
    </row>
    <row r="51">
      <c r="A51" t="inlineStr">
        <is>
          <t>SES email</t>
        </is>
      </c>
      <c r="B51" s="19" t="n">
        <v>1</v>
      </c>
      <c r="F51" s="4" t="inlineStr">
        <is>
          <t>$0.10/1k</t>
        </is>
      </c>
    </row>
    <row r="52">
      <c r="A52" t="inlineStr">
        <is>
          <t>Open-Meteo commercial license</t>
        </is>
      </c>
      <c r="B52" s="19" t="n">
        <v>33</v>
      </c>
      <c r="F52" s="4" t="inlineStr">
        <is>
          <t>REQUIRED to sell weather product</t>
        </is>
      </c>
    </row>
    <row r="53">
      <c r="A53" t="inlineStr">
        <is>
          <t>The Odds API (20K tier)</t>
        </is>
      </c>
      <c r="B53" s="19" t="n">
        <v>30</v>
      </c>
      <c r="F53" s="4" t="inlineStr">
        <is>
          <t>crypto-dashboard reads ODDS_API_KEY</t>
        </is>
      </c>
    </row>
    <row r="54">
      <c r="A54" t="inlineStr">
        <is>
          <t>Anthropic Claude API</t>
        </is>
      </c>
      <c r="B54" s="19" t="n">
        <v>50</v>
      </c>
      <c r="F54" s="4" t="inlineStr">
        <is>
          <t>email relay + signal explanations (Haiku 4.5 batch)</t>
        </is>
      </c>
    </row>
    <row r="55">
      <c r="A55" t="inlineStr">
        <is>
          <t>Support &amp; tooling, $/subscriber/mo</t>
        </is>
      </c>
      <c r="B55" s="19" t="n">
        <v>0.15</v>
      </c>
      <c r="F55" s="4" t="inlineStr">
        <is>
          <t>help desk, status page, transactional email at scale</t>
        </is>
      </c>
    </row>
    <row r="56">
      <c r="A56" s="9" t="inlineStr">
        <is>
          <t>PEOPLE &amp; G&amp;A</t>
        </is>
      </c>
      <c r="B56" s="10" t="n"/>
      <c r="C56" s="10" t="n"/>
      <c r="D56" s="10" t="n"/>
      <c r="E56" s="10" t="n"/>
      <c r="F56" s="10" t="n"/>
    </row>
    <row r="57">
      <c r="A57" t="inlineStr">
        <is>
          <t>Founder salary, $/yr</t>
        </is>
      </c>
      <c r="B57" s="18" t="n">
        <v>0</v>
      </c>
      <c r="F57" s="4" t="inlineStr">
        <is>
          <t>DEFAULT $0 — set e.g. 60000 when funded</t>
        </is>
      </c>
    </row>
    <row r="58">
      <c r="A58" t="inlineStr">
        <is>
          <t>Payroll tax &amp; fees, % of salary</t>
        </is>
      </c>
      <c r="B58" s="16" t="n">
        <v>0.1</v>
      </c>
      <c r="F58" s="4" t="inlineStr">
        <is>
          <t>employer side</t>
        </is>
      </c>
    </row>
    <row r="59">
      <c r="A59" t="inlineStr">
        <is>
          <t>ML contractor (Scale plan only), $/mo</t>
        </is>
      </c>
      <c r="B59" s="18" t="n">
        <v>1500</v>
      </c>
      <c r="F59" s="4" t="inlineStr">
        <is>
          <t>active when Training plan = 2</t>
        </is>
      </c>
    </row>
    <row r="60">
      <c r="A60" t="inlineStr">
        <is>
          <t>Bookkeeping, $/mo</t>
        </is>
      </c>
      <c r="B60" s="18" t="n">
        <v>99</v>
      </c>
      <c r="F60" s="4" t="inlineStr">
        <is>
          <t>Pilot Essentials</t>
        </is>
      </c>
    </row>
    <row r="61">
      <c r="A61" t="inlineStr">
        <is>
          <t>Insurance (GL+E&amp;O+cyber), $/mo</t>
        </is>
      </c>
      <c r="B61" s="18" t="n">
        <v>281</v>
      </c>
      <c r="F61" s="4" t="inlineStr">
        <is>
          <t>small-SaaS averages</t>
        </is>
      </c>
    </row>
    <row r="62">
      <c r="A62" t="inlineStr">
        <is>
          <t>Compliance amortized, $/mo</t>
        </is>
      </c>
      <c r="B62" s="18" t="n">
        <v>125</v>
      </c>
      <c r="F62" s="4" t="inlineStr">
        <is>
          <t>DE franchise $450 + agent $100 + Fondo $950 per year ÷ 12</t>
        </is>
      </c>
    </row>
    <row r="63">
      <c r="A63" t="inlineStr">
        <is>
          <t>SaaS &amp; tooling, $/mo</t>
        </is>
      </c>
      <c r="B63" s="19" t="n">
        <v>48.14</v>
      </c>
      <c r="F63" s="4" t="inlineStr">
        <is>
          <t>domain, Workspace, Sentry, Apple</t>
        </is>
      </c>
    </row>
    <row r="64">
      <c r="A64" s="9" t="inlineStr">
        <is>
          <t>ONE-TIME &amp; FINANCING</t>
        </is>
      </c>
      <c r="B64" s="10" t="n"/>
      <c r="C64" s="10" t="n"/>
      <c r="D64" s="10" t="n"/>
      <c r="E64" s="10" t="n"/>
      <c r="F64" s="10" t="n"/>
    </row>
    <row r="65">
      <c r="A65" t="inlineStr">
        <is>
          <t>Incorporation (Stripe Atlas)</t>
        </is>
      </c>
      <c r="B65" s="18" t="n">
        <v>500</v>
      </c>
      <c r="F65" s="4" t="inlineStr">
        <is>
          <t>one-time, M1</t>
        </is>
      </c>
    </row>
    <row r="66">
      <c r="A66" t="inlineStr">
        <is>
          <t>SAFE legal review</t>
        </is>
      </c>
      <c r="B66" s="18" t="n">
        <v>5000</v>
      </c>
      <c r="F66" s="4" t="inlineStr">
        <is>
          <t>one-time, M1</t>
        </is>
      </c>
    </row>
    <row r="67">
      <c r="A67" t="inlineStr">
        <is>
          <t>IA/CTA regulatory memo</t>
        </is>
      </c>
      <c r="B67" s="18" t="n">
        <v>15000</v>
      </c>
      <c r="F67" s="4" t="inlineStr">
        <is>
          <t>one-time, M1 — before selling signals</t>
        </is>
      </c>
    </row>
    <row r="68">
      <c r="A68" t="inlineStr">
        <is>
          <t>SAFE proceeds raised</t>
        </is>
      </c>
      <c r="B68" s="18" t="n">
        <v>125000</v>
      </c>
      <c r="F68" s="4" t="inlineStr">
        <is>
          <t>cash in at M1; drives Cap Table</t>
        </is>
      </c>
    </row>
    <row r="69">
      <c r="A69" t="inlineStr">
        <is>
          <t>SAFE post-money valuation cap</t>
        </is>
      </c>
      <c r="B69" s="18" t="n">
        <v>2000000</v>
      </c>
      <c r="F69" s="4" t="inlineStr">
        <is>
          <t>drives dilution</t>
        </is>
      </c>
    </row>
    <row r="70">
      <c r="A70" t="inlineStr">
        <is>
          <t>Founder shares outstanding</t>
        </is>
      </c>
      <c r="B70" s="13" t="n">
        <v>10000000</v>
      </c>
      <c r="F70" s="4" t="inlineStr">
        <is>
          <t>pre-conversion</t>
        </is>
      </c>
    </row>
    <row r="71">
      <c r="A71" t="inlineStr">
        <is>
          <t>Raise buffer for recommendation</t>
        </is>
      </c>
      <c r="B71" s="16" t="n">
        <v>0.25</v>
      </c>
      <c r="F71" s="4" t="inlineStr">
        <is>
          <t>cushion on peak need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12" customWidth="1" min="3" max="3"/>
    <col width="32" customWidth="1" min="4" max="4"/>
    <col width="56" customWidth="1" min="5" max="5"/>
  </cols>
  <sheetData>
    <row r="1">
      <c r="A1" s="7" t="inlineStr">
        <is>
          <t>narve.ai — Pricing Data</t>
        </is>
      </c>
    </row>
    <row r="2">
      <c r="A2" s="8" t="inlineStr">
        <is>
          <t>Reference (Drivers carries the live values). Verified 2026-07-02.</t>
        </is>
      </c>
    </row>
    <row r="4">
      <c r="A4" s="9" t="inlineStr">
        <is>
          <t>AWS — GPU (us-east-1, official price list)</t>
        </is>
      </c>
      <c r="B4" s="10" t="n"/>
      <c r="C4" s="10" t="n"/>
      <c r="D4" s="10" t="n"/>
      <c r="E4" s="10" t="n"/>
    </row>
    <row r="5">
      <c r="A5" s="23" t="inlineStr">
        <is>
          <t>Item</t>
        </is>
      </c>
      <c r="B5" s="23" t="inlineStr">
        <is>
          <t>Tier</t>
        </is>
      </c>
      <c r="C5" s="23" t="inlineStr">
        <is>
          <t>Price $</t>
        </is>
      </c>
      <c r="D5" s="23" t="inlineStr">
        <is>
          <t>Unit</t>
        </is>
      </c>
      <c r="E5" s="23" t="inlineStr">
        <is>
          <t>Source</t>
        </is>
      </c>
    </row>
    <row r="6">
      <c r="A6" t="inlineStr">
        <is>
          <t>g5.xlarge (1× A10G 24GB)</t>
        </is>
      </c>
      <c r="B6" t="inlineStr">
        <is>
          <t>on-demand / spot</t>
        </is>
      </c>
      <c r="C6" s="24" t="n">
        <v>1.006</v>
      </c>
      <c r="D6" t="inlineStr">
        <is>
          <t>per hr (spot ~$0.44)</t>
        </is>
      </c>
      <c r="E6" t="inlineStr">
        <is>
          <t>pricing.us-east-1.amazonaws.com</t>
        </is>
      </c>
    </row>
    <row r="7">
      <c r="A7" t="inlineStr">
        <is>
          <t>g6.xlarge (1× L4 24GB)</t>
        </is>
      </c>
      <c r="B7" t="inlineStr">
        <is>
          <t>on-demand / 1-yr RI / spot</t>
        </is>
      </c>
      <c r="C7" s="24" t="n">
        <v>0.8048</v>
      </c>
      <c r="D7" t="inlineStr">
        <is>
          <t>per hr / ~$0.523 RI / ~$0.41 spot</t>
        </is>
      </c>
      <c r="E7" t="inlineStr">
        <is>
          <t>pricing.us-east-1.amazonaws.com</t>
        </is>
      </c>
    </row>
    <row r="8">
      <c r="A8" t="inlineStr">
        <is>
          <t>g6e.xlarge (1× L40S 48GB)</t>
        </is>
      </c>
      <c r="B8" t="inlineStr">
        <is>
          <t>on-demand / RI / spot</t>
        </is>
      </c>
      <c r="C8" s="24" t="n">
        <v>1.861</v>
      </c>
      <c r="D8" t="inlineStr">
        <is>
          <t>per hr / $1.1724 RI / ~$1.2 spot</t>
        </is>
      </c>
      <c r="E8" t="inlineStr">
        <is>
          <t>pricing.us-east-1.amazonaws.com</t>
        </is>
      </c>
    </row>
    <row r="9">
      <c r="A9" t="inlineStr">
        <is>
          <t>g6e.12xlarge (4× L40S)</t>
        </is>
      </c>
      <c r="B9" t="inlineStr">
        <is>
          <t>on-demand / spot</t>
        </is>
      </c>
      <c r="C9" s="24" t="n">
        <v>10.49</v>
      </c>
      <c r="D9" t="inlineStr">
        <is>
          <t>per hr (spot ~$5.1)</t>
        </is>
      </c>
      <c r="E9" t="inlineStr">
        <is>
          <t>pricing.us-east-1.amazonaws.com</t>
        </is>
      </c>
    </row>
    <row r="10">
      <c r="A10" t="inlineStr">
        <is>
          <t>p4d.24xlarge (8× A100 40GB)</t>
        </is>
      </c>
      <c r="B10" t="inlineStr">
        <is>
          <t>on-demand / spot</t>
        </is>
      </c>
      <c r="C10" s="24" t="n">
        <v>21.96</v>
      </c>
      <c r="D10" t="inlineStr">
        <is>
          <t>per hr (spot ~$9.7 ±30%)</t>
        </is>
      </c>
      <c r="E10" t="inlineStr">
        <is>
          <t>pricing.us-east-1.amazonaws.com</t>
        </is>
      </c>
    </row>
    <row r="11">
      <c r="A11" t="inlineStr">
        <is>
          <t>p5.48xlarge (8× H100 80GB)</t>
        </is>
      </c>
      <c r="B11" t="inlineStr">
        <is>
          <t>on-demand</t>
        </is>
      </c>
      <c r="C11" s="24" t="n">
        <v>55.04</v>
      </c>
      <c r="D11" t="inlineStr">
        <is>
          <t>per hr ($6.88/GPU-hr)</t>
        </is>
      </c>
      <c r="E11" t="inlineStr">
        <is>
          <t>pricing.us-east-1.amazonaws.com</t>
        </is>
      </c>
    </row>
    <row r="12">
      <c r="A12" t="inlineStr">
        <is>
          <t>p5.48xlarge Capacity Blocks</t>
        </is>
      </c>
      <c r="B12" t="inlineStr">
        <is>
          <t>reservation (floats)</t>
        </is>
      </c>
      <c r="C12" s="24" t="n">
        <v>41.53</v>
      </c>
      <c r="D12" t="inlineStr">
        <is>
          <t>per hr ($5.191/GPU-hr post Jul-26 hike)</t>
        </is>
      </c>
      <c r="E12" t="inlineStr">
        <is>
          <t>aws.amazon.com/ec2/capacityblocks/pricing/</t>
        </is>
      </c>
    </row>
    <row r="13">
      <c r="A13" t="inlineStr">
        <is>
          <t>trn1.32xlarge (16× Trainium)</t>
        </is>
      </c>
      <c r="B13" t="inlineStr">
        <is>
          <t>on-demand / spot</t>
        </is>
      </c>
      <c r="C13" s="24" t="n">
        <v>21.5</v>
      </c>
      <c r="D13" t="inlineStr">
        <is>
          <t>per hr (spot ~$8.4, &lt;5% interruption)</t>
        </is>
      </c>
      <c r="E13" t="inlineStr">
        <is>
          <t>pricing.us-east-1.amazonaws.com</t>
        </is>
      </c>
    </row>
    <row r="15">
      <c r="A15" s="9" t="inlineStr">
        <is>
          <t>AWS — serving</t>
        </is>
      </c>
      <c r="B15" s="10" t="n"/>
      <c r="C15" s="10" t="n"/>
      <c r="D15" s="10" t="n"/>
      <c r="E15" s="10" t="n"/>
    </row>
    <row r="16">
      <c r="A16" s="23" t="inlineStr">
        <is>
          <t>Item</t>
        </is>
      </c>
      <c r="B16" s="23" t="inlineStr">
        <is>
          <t>Tier</t>
        </is>
      </c>
      <c r="C16" s="23" t="inlineStr">
        <is>
          <t>Price $</t>
        </is>
      </c>
      <c r="D16" s="23" t="inlineStr">
        <is>
          <t>Unit</t>
        </is>
      </c>
      <c r="E16" s="23" t="inlineStr">
        <is>
          <t>Source</t>
        </is>
      </c>
    </row>
    <row r="17">
      <c r="A17" t="inlineStr">
        <is>
          <t>EC2 t3.xlarge</t>
        </is>
      </c>
      <c r="B17" t="inlineStr">
        <is>
          <t>1-yr no-upfront RI</t>
        </is>
      </c>
      <c r="C17" s="24" t="n">
        <v>76.14</v>
      </c>
      <c r="D17" t="inlineStr">
        <is>
          <t>per month</t>
        </is>
      </c>
      <c r="E17" t="inlineStr">
        <is>
          <t>aws.amazon.com/ec2/pricing/reserved-instances/</t>
        </is>
      </c>
    </row>
    <row r="18">
      <c r="A18" t="inlineStr">
        <is>
          <t>EBS gp3 / snapshots / S3</t>
        </is>
      </c>
      <c r="B18" t="inlineStr">
        <is>
          <t>standard</t>
        </is>
      </c>
      <c r="C18" s="24" t="n">
        <v>0.08</v>
      </c>
      <c r="D18" t="inlineStr">
        <is>
          <t>$0.08 / $0.05 / $0.023 per GB-mo</t>
        </is>
      </c>
      <c r="E18" t="inlineStr">
        <is>
          <t>aws.amazon.com pricing pages</t>
        </is>
      </c>
    </row>
    <row r="19">
      <c r="A19" t="inlineStr">
        <is>
          <t>Data transfer out</t>
        </is>
      </c>
      <c r="B19" t="inlineStr">
        <is>
          <t>after 100 GB free</t>
        </is>
      </c>
      <c r="C19" s="24" t="n">
        <v>0.09</v>
      </c>
      <c r="D19" t="inlineStr">
        <is>
          <t>per GB (first 10 TB)</t>
        </is>
      </c>
      <c r="E19" t="inlineStr">
        <is>
          <t>aws.amazon.com/ec2/pricing/on-demand/</t>
        </is>
      </c>
    </row>
    <row r="20">
      <c r="A20" t="inlineStr">
        <is>
          <t>SES</t>
        </is>
      </c>
      <c r="B20" t="inlineStr">
        <is>
          <t>standard</t>
        </is>
      </c>
      <c r="C20" s="24" t="n">
        <v>0.1</v>
      </c>
      <c r="D20" t="inlineStr">
        <is>
          <t>per 1,000 emails</t>
        </is>
      </c>
      <c r="E20" t="inlineStr">
        <is>
          <t>aws.amazon.com/ses/pricing/</t>
        </is>
      </c>
    </row>
    <row r="22">
      <c r="A22" s="9" t="inlineStr">
        <is>
          <t>APIs, SaaS &amp; payments</t>
        </is>
      </c>
      <c r="B22" s="10" t="n"/>
      <c r="C22" s="10" t="n"/>
      <c r="D22" s="10" t="n"/>
      <c r="E22" s="10" t="n"/>
    </row>
    <row r="23">
      <c r="A23" s="23" t="inlineStr">
        <is>
          <t>Item</t>
        </is>
      </c>
      <c r="B23" s="23" t="inlineStr">
        <is>
          <t>Tier</t>
        </is>
      </c>
      <c r="C23" s="23" t="inlineStr">
        <is>
          <t>Price $</t>
        </is>
      </c>
      <c r="D23" s="23" t="inlineStr">
        <is>
          <t>Unit</t>
        </is>
      </c>
      <c r="E23" s="23" t="inlineStr">
        <is>
          <t>Source</t>
        </is>
      </c>
    </row>
    <row r="24">
      <c r="A24" t="inlineStr">
        <is>
          <t>Open-Meteo commercial</t>
        </is>
      </c>
      <c r="B24" t="inlineStr">
        <is>
          <t>API Standard</t>
        </is>
      </c>
      <c r="C24" s="24" t="n">
        <v>33</v>
      </c>
      <c r="D24" t="inlineStr">
        <is>
          <t>per month (EUR 29)</t>
        </is>
      </c>
      <c r="E24" t="inlineStr">
        <is>
          <t>open-meteo.com/en/pricing</t>
        </is>
      </c>
    </row>
    <row r="25">
      <c r="A25" t="inlineStr">
        <is>
          <t>The Odds API</t>
        </is>
      </c>
      <c r="B25" t="inlineStr">
        <is>
          <t>20K credits</t>
        </is>
      </c>
      <c r="C25" s="24" t="n">
        <v>30</v>
      </c>
      <c r="D25" t="inlineStr">
        <is>
          <t>per month</t>
        </is>
      </c>
      <c r="E25" t="inlineStr">
        <is>
          <t>the-odds-api.com</t>
        </is>
      </c>
    </row>
    <row r="26">
      <c r="A26" t="inlineStr">
        <is>
          <t>Anthropic Claude Haiku 4.5</t>
        </is>
      </c>
      <c r="B26" t="inlineStr">
        <is>
          <t>input/output</t>
        </is>
      </c>
      <c r="C26" s="24" t="n">
        <v>1</v>
      </c>
      <c r="D26" t="inlineStr">
        <is>
          <t>$1 / $5 per MTok (batch −50%)</t>
        </is>
      </c>
      <c r="E26" t="inlineStr">
        <is>
          <t>platform.claude.com/docs/en/about-claude/pricing</t>
        </is>
      </c>
    </row>
    <row r="27">
      <c r="A27" t="inlineStr">
        <is>
          <t>Stripe</t>
        </is>
      </c>
      <c r="B27" t="inlineStr">
        <is>
          <t>US cards + Billing</t>
        </is>
      </c>
      <c r="C27" s="24" t="n">
        <v>2.9</v>
      </c>
      <c r="D27" t="inlineStr">
        <is>
          <t>% + $0.30 + 0.7% Billing</t>
        </is>
      </c>
      <c r="E27" t="inlineStr">
        <is>
          <t>stripe.com/pricing</t>
        </is>
      </c>
    </row>
    <row r="28">
      <c r="A28" t="inlineStr">
        <is>
          <t>.ai domain</t>
        </is>
      </c>
      <c r="B28" t="inlineStr">
        <is>
          <t>Porkbun renewal</t>
        </is>
      </c>
      <c r="C28" s="24" t="n">
        <v>82.7</v>
      </c>
      <c r="D28" t="inlineStr">
        <is>
          <t>per year</t>
        </is>
      </c>
      <c r="E28" t="inlineStr">
        <is>
          <t>porkbun.com</t>
        </is>
      </c>
    </row>
    <row r="29">
      <c r="A29" t="inlineStr">
        <is>
          <t>Google Workspace / Sentry Team / Apple Dev</t>
        </is>
      </c>
      <c r="B29" t="inlineStr">
        <is>
          <t>various</t>
        </is>
      </c>
      <c r="C29" s="24" t="n">
        <v>41.25</v>
      </c>
      <c r="D29" t="inlineStr">
        <is>
          <t>$7 + $26 + $8.25 per month</t>
        </is>
      </c>
      <c r="E29" t="inlineStr">
        <is>
          <t>official pricing pages</t>
        </is>
      </c>
    </row>
    <row r="31">
      <c r="A31" s="9" t="inlineStr">
        <is>
          <t>Professional (Delaware C-corp)</t>
        </is>
      </c>
      <c r="B31" s="10" t="n"/>
      <c r="C31" s="10" t="n"/>
      <c r="D31" s="10" t="n"/>
      <c r="E31" s="10" t="n"/>
    </row>
    <row r="32">
      <c r="A32" s="23" t="inlineStr">
        <is>
          <t>Item</t>
        </is>
      </c>
      <c r="B32" s="23" t="inlineStr">
        <is>
          <t>Tier</t>
        </is>
      </c>
      <c r="C32" s="23" t="inlineStr">
        <is>
          <t>Price $</t>
        </is>
      </c>
      <c r="D32" s="23" t="inlineStr">
        <is>
          <t>Unit</t>
        </is>
      </c>
      <c r="E32" s="23" t="inlineStr">
        <is>
          <t>Source</t>
        </is>
      </c>
    </row>
    <row r="33">
      <c r="A33" t="inlineStr">
        <is>
          <t>Stripe Atlas incorporation</t>
        </is>
      </c>
      <c r="B33" t="inlineStr">
        <is>
          <t>one-time</t>
        </is>
      </c>
      <c r="C33" s="24" t="n">
        <v>500</v>
      </c>
      <c r="D33" t="inlineStr">
        <is>
          <t>one-time</t>
        </is>
      </c>
      <c r="E33" t="inlineStr">
        <is>
          <t>stripe.com/atlas</t>
        </is>
      </c>
    </row>
    <row r="34">
      <c r="A34" t="inlineStr">
        <is>
          <t>DE franchise tax + report</t>
        </is>
      </c>
      <c r="B34" t="inlineStr">
        <is>
          <t>APV minimum</t>
        </is>
      </c>
      <c r="C34" s="24" t="n">
        <v>450</v>
      </c>
      <c r="D34" t="inlineStr">
        <is>
          <t>per year</t>
        </is>
      </c>
      <c r="E34" t="inlineStr">
        <is>
          <t>corp.delaware.gov/frtaxcalc/</t>
        </is>
      </c>
    </row>
    <row r="35">
      <c r="A35" t="inlineStr">
        <is>
          <t>Registered agent</t>
        </is>
      </c>
      <c r="B35" t="inlineStr">
        <is>
          <t>from year 2</t>
        </is>
      </c>
      <c r="C35" s="24" t="n">
        <v>100</v>
      </c>
      <c r="D35" t="inlineStr">
        <is>
          <t>per year</t>
        </is>
      </c>
      <c r="E35" t="inlineStr">
        <is>
          <t>support.stripe.com</t>
        </is>
      </c>
    </row>
    <row r="36">
      <c r="A36" t="inlineStr">
        <is>
          <t>Pilot Essentials bookkeeping</t>
        </is>
      </c>
      <c r="B36" t="inlineStr">
        <is>
          <t>monthly</t>
        </is>
      </c>
      <c r="C36" s="24" t="n">
        <v>99</v>
      </c>
      <c r="D36" t="inlineStr">
        <is>
          <t>per month</t>
        </is>
      </c>
      <c r="E36" t="inlineStr">
        <is>
          <t>pilot.com/pricing</t>
        </is>
      </c>
    </row>
    <row r="37">
      <c r="A37" t="inlineStr">
        <is>
          <t>Fondo TaxPass</t>
        </is>
      </c>
      <c r="B37" t="inlineStr">
        <is>
          <t>annual</t>
        </is>
      </c>
      <c r="C37" s="24" t="n">
        <v>950</v>
      </c>
      <c r="D37" t="inlineStr">
        <is>
          <t>per year</t>
        </is>
      </c>
      <c r="E37" t="inlineStr">
        <is>
          <t>fondo.com/pricing</t>
        </is>
      </c>
    </row>
    <row r="38">
      <c r="A38" t="inlineStr">
        <is>
          <t>Insurance GL+E&amp;O+cyber</t>
        </is>
      </c>
      <c r="B38" t="inlineStr">
        <is>
          <t>small SaaS avg</t>
        </is>
      </c>
      <c r="C38" s="24" t="n">
        <v>281</v>
      </c>
      <c r="D38" t="inlineStr">
        <is>
          <t>per month</t>
        </is>
      </c>
      <c r="E38" t="inlineStr">
        <is>
          <t>insureon.com / techinsurance.com</t>
        </is>
      </c>
    </row>
    <row r="39">
      <c r="A39" t="inlineStr">
        <is>
          <t>SAFE round legal</t>
        </is>
      </c>
      <c r="B39" t="inlineStr">
        <is>
          <t>review</t>
        </is>
      </c>
      <c r="C39" s="24" t="n">
        <v>5000</v>
      </c>
      <c r="D39" t="inlineStr">
        <is>
          <t>one-time (YC docs free)</t>
        </is>
      </c>
      <c r="E39" t="inlineStr">
        <is>
          <t>siliconhillslawyer.com</t>
        </is>
      </c>
    </row>
    <row r="40">
      <c r="A40" t="inlineStr">
        <is>
          <t>IA/CTA regulatory memo</t>
        </is>
      </c>
      <c r="B40" t="inlineStr">
        <is>
          <t>one-time</t>
        </is>
      </c>
      <c r="C40" s="24" t="n">
        <v>15000</v>
      </c>
      <c r="D40" t="inlineStr">
        <is>
          <t>midpoint of $5–25k</t>
        </is>
      </c>
      <c r="E40" t="inlineStr">
        <is>
          <t>specialist counsel estimate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selection activeCell="A1" sqref="A1"/>
    </sheetView>
  </sheetViews>
  <sheetFormatPr baseColWidth="8" defaultRowHeight="15"/>
  <cols>
    <col width="4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Revenue Build</t>
        </is>
      </c>
    </row>
    <row r="2">
      <c r="A2" s="8" t="inlineStr">
        <is>
          <t>Funnel: trickle + organic + paid (marketing ÷ CAC) → monthly &amp; annual pools → recognized revenue vs billings → deferred revenue.</t>
        </is>
      </c>
    </row>
    <row r="4">
      <c r="A4" s="25" t="inlineStr">
        <is>
          <t>($ unless noted)</t>
        </is>
      </c>
      <c r="B4" s="26" t="inlineStr">
        <is>
          <t>M1 Aug-26</t>
        </is>
      </c>
      <c r="C4" s="26" t="inlineStr">
        <is>
          <t>M2 Sep-26</t>
        </is>
      </c>
      <c r="D4" s="26" t="inlineStr">
        <is>
          <t>M3 Oct-26</t>
        </is>
      </c>
      <c r="E4" s="26" t="inlineStr">
        <is>
          <t>M4 Nov-26</t>
        </is>
      </c>
      <c r="F4" s="26" t="inlineStr">
        <is>
          <t>M5 Dec-26</t>
        </is>
      </c>
      <c r="G4" s="26" t="inlineStr">
        <is>
          <t>M6 Jan-27</t>
        </is>
      </c>
      <c r="H4" s="26" t="inlineStr">
        <is>
          <t>M7 Feb-27</t>
        </is>
      </c>
      <c r="I4" s="26" t="inlineStr">
        <is>
          <t>M8 Mar-27</t>
        </is>
      </c>
      <c r="J4" s="26" t="inlineStr">
        <is>
          <t>M9 Apr-27</t>
        </is>
      </c>
      <c r="K4" s="26" t="inlineStr">
        <is>
          <t>M10 May-27</t>
        </is>
      </c>
      <c r="L4" s="26" t="inlineStr">
        <is>
          <t>M11 Jun-27</t>
        </is>
      </c>
      <c r="M4" s="26" t="inlineStr">
        <is>
          <t>M12 Jul-27</t>
        </is>
      </c>
      <c r="N4" s="26" t="inlineStr">
        <is>
          <t>M13 Aug-27</t>
        </is>
      </c>
      <c r="O4" s="26" t="inlineStr">
        <is>
          <t>M14 Sep-27</t>
        </is>
      </c>
      <c r="P4" s="26" t="inlineStr">
        <is>
          <t>M15 Oct-27</t>
        </is>
      </c>
      <c r="Q4" s="26" t="inlineStr">
        <is>
          <t>M16 Nov-27</t>
        </is>
      </c>
      <c r="R4" s="26" t="inlineStr">
        <is>
          <t>M17 Dec-27</t>
        </is>
      </c>
      <c r="S4" s="26" t="inlineStr">
        <is>
          <t>M18 Jan-28</t>
        </is>
      </c>
      <c r="T4" s="26" t="inlineStr">
        <is>
          <t>M19 Feb-28</t>
        </is>
      </c>
      <c r="U4" s="26" t="inlineStr">
        <is>
          <t>M20 Mar-28</t>
        </is>
      </c>
      <c r="V4" s="26" t="inlineStr">
        <is>
          <t>M21 Apr-28</t>
        </is>
      </c>
      <c r="W4" s="26" t="inlineStr">
        <is>
          <t>M22 May-28</t>
        </is>
      </c>
      <c r="X4" s="26" t="inlineStr">
        <is>
          <t>M23 Jun-28</t>
        </is>
      </c>
      <c r="Y4" s="26" t="inlineStr">
        <is>
          <t>M24 Jul-28</t>
        </is>
      </c>
      <c r="Z4" s="26" t="inlineStr">
        <is>
          <t>M25 Aug-28</t>
        </is>
      </c>
      <c r="AA4" s="26" t="inlineStr">
        <is>
          <t>M26 Sep-28</t>
        </is>
      </c>
      <c r="AB4" s="26" t="inlineStr">
        <is>
          <t>M27 Oct-28</t>
        </is>
      </c>
      <c r="AC4" s="26" t="inlineStr">
        <is>
          <t>M28 Nov-28</t>
        </is>
      </c>
      <c r="AD4" s="26" t="inlineStr">
        <is>
          <t>M29 Dec-28</t>
        </is>
      </c>
      <c r="AE4" s="26" t="inlineStr">
        <is>
          <t>M30 Jan-29</t>
        </is>
      </c>
      <c r="AF4" s="26" t="inlineStr">
        <is>
          <t>M31 Feb-29</t>
        </is>
      </c>
      <c r="AG4" s="26" t="inlineStr">
        <is>
          <t>M32 Mar-29</t>
        </is>
      </c>
      <c r="AH4" s="26" t="inlineStr">
        <is>
          <t>M33 Apr-29</t>
        </is>
      </c>
      <c r="AI4" s="26" t="inlineStr">
        <is>
          <t>M34 May-29</t>
        </is>
      </c>
      <c r="AJ4" s="26" t="inlineStr">
        <is>
          <t>M35 Jun-29</t>
        </is>
      </c>
      <c r="AK4" s="26" t="inlineStr">
        <is>
          <t>M36 Jul-29</t>
        </is>
      </c>
    </row>
    <row r="5">
      <c r="A5" s="9" t="inlineStr">
        <is>
          <t>ACQUISITION FUNNEL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>
      <c r="A6" t="inlineStr">
        <is>
          <t>Invite trickle (pre-launch)</t>
        </is>
      </c>
      <c r="B6" s="27">
        <f>IF(1&lt;Drivers!$B$7,Drivers!$B$10,0)</f>
        <v/>
      </c>
      <c r="C6" s="27">
        <f>IF(2&lt;Drivers!$B$7,Drivers!$B$10,0)</f>
        <v/>
      </c>
      <c r="D6" s="27">
        <f>IF(3&lt;Drivers!$B$7,Drivers!$B$10,0)</f>
        <v/>
      </c>
      <c r="E6" s="27">
        <f>IF(4&lt;Drivers!$B$7,Drivers!$B$10,0)</f>
        <v/>
      </c>
      <c r="F6" s="27">
        <f>IF(5&lt;Drivers!$B$7,Drivers!$B$10,0)</f>
        <v/>
      </c>
      <c r="G6" s="27">
        <f>IF(6&lt;Drivers!$B$7,Drivers!$B$10,0)</f>
        <v/>
      </c>
      <c r="H6" s="27">
        <f>IF(7&lt;Drivers!$B$7,Drivers!$B$10,0)</f>
        <v/>
      </c>
      <c r="I6" s="27">
        <f>IF(8&lt;Drivers!$B$7,Drivers!$B$10,0)</f>
        <v/>
      </c>
      <c r="J6" s="27">
        <f>IF(9&lt;Drivers!$B$7,Drivers!$B$10,0)</f>
        <v/>
      </c>
      <c r="K6" s="27">
        <f>IF(10&lt;Drivers!$B$7,Drivers!$B$10,0)</f>
        <v/>
      </c>
      <c r="L6" s="27">
        <f>IF(11&lt;Drivers!$B$7,Drivers!$B$10,0)</f>
        <v/>
      </c>
      <c r="M6" s="27">
        <f>IF(12&lt;Drivers!$B$7,Drivers!$B$10,0)</f>
        <v/>
      </c>
      <c r="N6" s="27">
        <f>IF(13&lt;Drivers!$B$7,Drivers!$B$10,0)</f>
        <v/>
      </c>
      <c r="O6" s="27">
        <f>IF(14&lt;Drivers!$B$7,Drivers!$B$10,0)</f>
        <v/>
      </c>
      <c r="P6" s="27">
        <f>IF(15&lt;Drivers!$B$7,Drivers!$B$10,0)</f>
        <v/>
      </c>
      <c r="Q6" s="27">
        <f>IF(16&lt;Drivers!$B$7,Drivers!$B$10,0)</f>
        <v/>
      </c>
      <c r="R6" s="27">
        <f>IF(17&lt;Drivers!$B$7,Drivers!$B$10,0)</f>
        <v/>
      </c>
      <c r="S6" s="27">
        <f>IF(18&lt;Drivers!$B$7,Drivers!$B$10,0)</f>
        <v/>
      </c>
      <c r="T6" s="27">
        <f>IF(19&lt;Drivers!$B$7,Drivers!$B$10,0)</f>
        <v/>
      </c>
      <c r="U6" s="27">
        <f>IF(20&lt;Drivers!$B$7,Drivers!$B$10,0)</f>
        <v/>
      </c>
      <c r="V6" s="27">
        <f>IF(21&lt;Drivers!$B$7,Drivers!$B$10,0)</f>
        <v/>
      </c>
      <c r="W6" s="27">
        <f>IF(22&lt;Drivers!$B$7,Drivers!$B$10,0)</f>
        <v/>
      </c>
      <c r="X6" s="27">
        <f>IF(23&lt;Drivers!$B$7,Drivers!$B$10,0)</f>
        <v/>
      </c>
      <c r="Y6" s="27">
        <f>IF(24&lt;Drivers!$B$7,Drivers!$B$10,0)</f>
        <v/>
      </c>
      <c r="Z6" s="27">
        <f>IF(25&lt;Drivers!$B$7,Drivers!$B$10,0)</f>
        <v/>
      </c>
      <c r="AA6" s="27">
        <f>IF(26&lt;Drivers!$B$7,Drivers!$B$10,0)</f>
        <v/>
      </c>
      <c r="AB6" s="27">
        <f>IF(27&lt;Drivers!$B$7,Drivers!$B$10,0)</f>
        <v/>
      </c>
      <c r="AC6" s="27">
        <f>IF(28&lt;Drivers!$B$7,Drivers!$B$10,0)</f>
        <v/>
      </c>
      <c r="AD6" s="27">
        <f>IF(29&lt;Drivers!$B$7,Drivers!$B$10,0)</f>
        <v/>
      </c>
      <c r="AE6" s="27">
        <f>IF(30&lt;Drivers!$B$7,Drivers!$B$10,0)</f>
        <v/>
      </c>
      <c r="AF6" s="27">
        <f>IF(31&lt;Drivers!$B$7,Drivers!$B$10,0)</f>
        <v/>
      </c>
      <c r="AG6" s="27">
        <f>IF(32&lt;Drivers!$B$7,Drivers!$B$10,0)</f>
        <v/>
      </c>
      <c r="AH6" s="27">
        <f>IF(33&lt;Drivers!$B$7,Drivers!$B$10,0)</f>
        <v/>
      </c>
      <c r="AI6" s="27">
        <f>IF(34&lt;Drivers!$B$7,Drivers!$B$10,0)</f>
        <v/>
      </c>
      <c r="AJ6" s="27">
        <f>IF(35&lt;Drivers!$B$7,Drivers!$B$10,0)</f>
        <v/>
      </c>
      <c r="AK6" s="27">
        <f>IF(36&lt;Drivers!$B$7,Drivers!$B$10,0)</f>
        <v/>
      </c>
    </row>
    <row r="7">
      <c r="A7" t="inlineStr">
        <is>
          <t>Organic adds</t>
        </is>
      </c>
      <c r="B7" s="27">
        <f>IF(1&lt;Drivers!$B$7,0,Drivers!$B$11)</f>
        <v/>
      </c>
      <c r="C7" s="27">
        <f>IF(2&lt;Drivers!$B$7,0,IF(B7=0,Drivers!$B$11,MIN(Drivers!$B$13,B7*(1+Drivers!$B$12))))</f>
        <v/>
      </c>
      <c r="D7" s="27">
        <f>IF(3&lt;Drivers!$B$7,0,IF(C7=0,Drivers!$B$11,MIN(Drivers!$B$13,C7*(1+Drivers!$B$12))))</f>
        <v/>
      </c>
      <c r="E7" s="27">
        <f>IF(4&lt;Drivers!$B$7,0,IF(D7=0,Drivers!$B$11,MIN(Drivers!$B$13,D7*(1+Drivers!$B$12))))</f>
        <v/>
      </c>
      <c r="F7" s="27">
        <f>IF(5&lt;Drivers!$B$7,0,IF(E7=0,Drivers!$B$11,MIN(Drivers!$B$13,E7*(1+Drivers!$B$12))))</f>
        <v/>
      </c>
      <c r="G7" s="27">
        <f>IF(6&lt;Drivers!$B$7,0,IF(F7=0,Drivers!$B$11,MIN(Drivers!$B$13,F7*(1+Drivers!$B$12))))</f>
        <v/>
      </c>
      <c r="H7" s="27">
        <f>IF(7&lt;Drivers!$B$7,0,IF(G7=0,Drivers!$B$11,MIN(Drivers!$B$13,G7*(1+Drivers!$B$12))))</f>
        <v/>
      </c>
      <c r="I7" s="27">
        <f>IF(8&lt;Drivers!$B$7,0,IF(H7=0,Drivers!$B$11,MIN(Drivers!$B$13,H7*(1+Drivers!$B$12))))</f>
        <v/>
      </c>
      <c r="J7" s="27">
        <f>IF(9&lt;Drivers!$B$7,0,IF(I7=0,Drivers!$B$11,MIN(Drivers!$B$13,I7*(1+Drivers!$B$12))))</f>
        <v/>
      </c>
      <c r="K7" s="27">
        <f>IF(10&lt;Drivers!$B$7,0,IF(J7=0,Drivers!$B$11,MIN(Drivers!$B$13,J7*(1+Drivers!$B$12))))</f>
        <v/>
      </c>
      <c r="L7" s="27">
        <f>IF(11&lt;Drivers!$B$7,0,IF(K7=0,Drivers!$B$11,MIN(Drivers!$B$13,K7*(1+Drivers!$B$12))))</f>
        <v/>
      </c>
      <c r="M7" s="27">
        <f>IF(12&lt;Drivers!$B$7,0,IF(L7=0,Drivers!$B$11,MIN(Drivers!$B$13,L7*(1+Drivers!$B$12))))</f>
        <v/>
      </c>
      <c r="N7" s="27">
        <f>IF(13&lt;Drivers!$B$7,0,IF(M7=0,Drivers!$B$11,MIN(Drivers!$B$13,M7*(1+Drivers!$B$12))))</f>
        <v/>
      </c>
      <c r="O7" s="27">
        <f>IF(14&lt;Drivers!$B$7,0,IF(N7=0,Drivers!$B$11,MIN(Drivers!$B$13,N7*(1+Drivers!$B$12))))</f>
        <v/>
      </c>
      <c r="P7" s="27">
        <f>IF(15&lt;Drivers!$B$7,0,IF(O7=0,Drivers!$B$11,MIN(Drivers!$B$13,O7*(1+Drivers!$B$12))))</f>
        <v/>
      </c>
      <c r="Q7" s="27">
        <f>IF(16&lt;Drivers!$B$7,0,IF(P7=0,Drivers!$B$11,MIN(Drivers!$B$13,P7*(1+Drivers!$B$12))))</f>
        <v/>
      </c>
      <c r="R7" s="27">
        <f>IF(17&lt;Drivers!$B$7,0,IF(Q7=0,Drivers!$B$11,MIN(Drivers!$B$13,Q7*(1+Drivers!$B$12))))</f>
        <v/>
      </c>
      <c r="S7" s="27">
        <f>IF(18&lt;Drivers!$B$7,0,IF(R7=0,Drivers!$B$11,MIN(Drivers!$B$13,R7*(1+Drivers!$B$12))))</f>
        <v/>
      </c>
      <c r="T7" s="27">
        <f>IF(19&lt;Drivers!$B$7,0,IF(S7=0,Drivers!$B$11,MIN(Drivers!$B$13,S7*(1+Drivers!$B$12))))</f>
        <v/>
      </c>
      <c r="U7" s="27">
        <f>IF(20&lt;Drivers!$B$7,0,IF(T7=0,Drivers!$B$11,MIN(Drivers!$B$13,T7*(1+Drivers!$B$12))))</f>
        <v/>
      </c>
      <c r="V7" s="27">
        <f>IF(21&lt;Drivers!$B$7,0,IF(U7=0,Drivers!$B$11,MIN(Drivers!$B$13,U7*(1+Drivers!$B$12))))</f>
        <v/>
      </c>
      <c r="W7" s="27">
        <f>IF(22&lt;Drivers!$B$7,0,IF(V7=0,Drivers!$B$11,MIN(Drivers!$B$13,V7*(1+Drivers!$B$12))))</f>
        <v/>
      </c>
      <c r="X7" s="27">
        <f>IF(23&lt;Drivers!$B$7,0,IF(W7=0,Drivers!$B$11,MIN(Drivers!$B$13,W7*(1+Drivers!$B$12))))</f>
        <v/>
      </c>
      <c r="Y7" s="27">
        <f>IF(24&lt;Drivers!$B$7,0,IF(X7=0,Drivers!$B$11,MIN(Drivers!$B$13,X7*(1+Drivers!$B$12))))</f>
        <v/>
      </c>
      <c r="Z7" s="27">
        <f>IF(25&lt;Drivers!$B$7,0,IF(Y7=0,Drivers!$B$11,MIN(Drivers!$B$13,Y7*(1+Drivers!$B$12))))</f>
        <v/>
      </c>
      <c r="AA7" s="27">
        <f>IF(26&lt;Drivers!$B$7,0,IF(Z7=0,Drivers!$B$11,MIN(Drivers!$B$13,Z7*(1+Drivers!$B$12))))</f>
        <v/>
      </c>
      <c r="AB7" s="27">
        <f>IF(27&lt;Drivers!$B$7,0,IF(AA7=0,Drivers!$B$11,MIN(Drivers!$B$13,AA7*(1+Drivers!$B$12))))</f>
        <v/>
      </c>
      <c r="AC7" s="27">
        <f>IF(28&lt;Drivers!$B$7,0,IF(AB7=0,Drivers!$B$11,MIN(Drivers!$B$13,AB7*(1+Drivers!$B$12))))</f>
        <v/>
      </c>
      <c r="AD7" s="27">
        <f>IF(29&lt;Drivers!$B$7,0,IF(AC7=0,Drivers!$B$11,MIN(Drivers!$B$13,AC7*(1+Drivers!$B$12))))</f>
        <v/>
      </c>
      <c r="AE7" s="27">
        <f>IF(30&lt;Drivers!$B$7,0,IF(AD7=0,Drivers!$B$11,MIN(Drivers!$B$13,AD7*(1+Drivers!$B$12))))</f>
        <v/>
      </c>
      <c r="AF7" s="27">
        <f>IF(31&lt;Drivers!$B$7,0,IF(AE7=0,Drivers!$B$11,MIN(Drivers!$B$13,AE7*(1+Drivers!$B$12))))</f>
        <v/>
      </c>
      <c r="AG7" s="27">
        <f>IF(32&lt;Drivers!$B$7,0,IF(AF7=0,Drivers!$B$11,MIN(Drivers!$B$13,AF7*(1+Drivers!$B$12))))</f>
        <v/>
      </c>
      <c r="AH7" s="27">
        <f>IF(33&lt;Drivers!$B$7,0,IF(AG7=0,Drivers!$B$11,MIN(Drivers!$B$13,AG7*(1+Drivers!$B$12))))</f>
        <v/>
      </c>
      <c r="AI7" s="27">
        <f>IF(34&lt;Drivers!$B$7,0,IF(AH7=0,Drivers!$B$11,MIN(Drivers!$B$13,AH7*(1+Drivers!$B$12))))</f>
        <v/>
      </c>
      <c r="AJ7" s="27">
        <f>IF(35&lt;Drivers!$B$7,0,IF(AI7=0,Drivers!$B$11,MIN(Drivers!$B$13,AI7*(1+Drivers!$B$12))))</f>
        <v/>
      </c>
      <c r="AK7" s="27">
        <f>IF(36&lt;Drivers!$B$7,0,IF(AJ7=0,Drivers!$B$11,MIN(Drivers!$B$13,AJ7*(1+Drivers!$B$12))))</f>
        <v/>
      </c>
    </row>
    <row r="8">
      <c r="A8" t="inlineStr">
        <is>
          <t>Marketing spend</t>
        </is>
      </c>
      <c r="B8" s="27">
        <f>IF(1&lt;Drivers!$B$7,0,Drivers!$B$14)</f>
        <v/>
      </c>
      <c r="C8" s="27">
        <f>IF(2&lt;Drivers!$B$7,0,IF(B8=0,Drivers!$B$14,MIN(Drivers!$B$16,B8*(1+Drivers!$B$15))))</f>
        <v/>
      </c>
      <c r="D8" s="27">
        <f>IF(3&lt;Drivers!$B$7,0,IF(C8=0,Drivers!$B$14,MIN(Drivers!$B$16,C8*(1+Drivers!$B$15))))</f>
        <v/>
      </c>
      <c r="E8" s="27">
        <f>IF(4&lt;Drivers!$B$7,0,IF(D8=0,Drivers!$B$14,MIN(Drivers!$B$16,D8*(1+Drivers!$B$15))))</f>
        <v/>
      </c>
      <c r="F8" s="27">
        <f>IF(5&lt;Drivers!$B$7,0,IF(E8=0,Drivers!$B$14,MIN(Drivers!$B$16,E8*(1+Drivers!$B$15))))</f>
        <v/>
      </c>
      <c r="G8" s="27">
        <f>IF(6&lt;Drivers!$B$7,0,IF(F8=0,Drivers!$B$14,MIN(Drivers!$B$16,F8*(1+Drivers!$B$15))))</f>
        <v/>
      </c>
      <c r="H8" s="27">
        <f>IF(7&lt;Drivers!$B$7,0,IF(G8=0,Drivers!$B$14,MIN(Drivers!$B$16,G8*(1+Drivers!$B$15))))</f>
        <v/>
      </c>
      <c r="I8" s="27">
        <f>IF(8&lt;Drivers!$B$7,0,IF(H8=0,Drivers!$B$14,MIN(Drivers!$B$16,H8*(1+Drivers!$B$15))))</f>
        <v/>
      </c>
      <c r="J8" s="27">
        <f>IF(9&lt;Drivers!$B$7,0,IF(I8=0,Drivers!$B$14,MIN(Drivers!$B$16,I8*(1+Drivers!$B$15))))</f>
        <v/>
      </c>
      <c r="K8" s="27">
        <f>IF(10&lt;Drivers!$B$7,0,IF(J8=0,Drivers!$B$14,MIN(Drivers!$B$16,J8*(1+Drivers!$B$15))))</f>
        <v/>
      </c>
      <c r="L8" s="27">
        <f>IF(11&lt;Drivers!$B$7,0,IF(K8=0,Drivers!$B$14,MIN(Drivers!$B$16,K8*(1+Drivers!$B$15))))</f>
        <v/>
      </c>
      <c r="M8" s="27">
        <f>IF(12&lt;Drivers!$B$7,0,IF(L8=0,Drivers!$B$14,MIN(Drivers!$B$16,L8*(1+Drivers!$B$15))))</f>
        <v/>
      </c>
      <c r="N8" s="27">
        <f>IF(13&lt;Drivers!$B$7,0,IF(M8=0,Drivers!$B$14,MIN(Drivers!$B$16,M8*(1+Drivers!$B$15))))</f>
        <v/>
      </c>
      <c r="O8" s="27">
        <f>IF(14&lt;Drivers!$B$7,0,IF(N8=0,Drivers!$B$14,MIN(Drivers!$B$16,N8*(1+Drivers!$B$15))))</f>
        <v/>
      </c>
      <c r="P8" s="27">
        <f>IF(15&lt;Drivers!$B$7,0,IF(O8=0,Drivers!$B$14,MIN(Drivers!$B$16,O8*(1+Drivers!$B$15))))</f>
        <v/>
      </c>
      <c r="Q8" s="27">
        <f>IF(16&lt;Drivers!$B$7,0,IF(P8=0,Drivers!$B$14,MIN(Drivers!$B$16,P8*(1+Drivers!$B$15))))</f>
        <v/>
      </c>
      <c r="R8" s="27">
        <f>IF(17&lt;Drivers!$B$7,0,IF(Q8=0,Drivers!$B$14,MIN(Drivers!$B$16,Q8*(1+Drivers!$B$15))))</f>
        <v/>
      </c>
      <c r="S8" s="27">
        <f>IF(18&lt;Drivers!$B$7,0,IF(R8=0,Drivers!$B$14,MIN(Drivers!$B$16,R8*(1+Drivers!$B$15))))</f>
        <v/>
      </c>
      <c r="T8" s="27">
        <f>IF(19&lt;Drivers!$B$7,0,IF(S8=0,Drivers!$B$14,MIN(Drivers!$B$16,S8*(1+Drivers!$B$15))))</f>
        <v/>
      </c>
      <c r="U8" s="27">
        <f>IF(20&lt;Drivers!$B$7,0,IF(T8=0,Drivers!$B$14,MIN(Drivers!$B$16,T8*(1+Drivers!$B$15))))</f>
        <v/>
      </c>
      <c r="V8" s="27">
        <f>IF(21&lt;Drivers!$B$7,0,IF(U8=0,Drivers!$B$14,MIN(Drivers!$B$16,U8*(1+Drivers!$B$15))))</f>
        <v/>
      </c>
      <c r="W8" s="27">
        <f>IF(22&lt;Drivers!$B$7,0,IF(V8=0,Drivers!$B$14,MIN(Drivers!$B$16,V8*(1+Drivers!$B$15))))</f>
        <v/>
      </c>
      <c r="X8" s="27">
        <f>IF(23&lt;Drivers!$B$7,0,IF(W8=0,Drivers!$B$14,MIN(Drivers!$B$16,W8*(1+Drivers!$B$15))))</f>
        <v/>
      </c>
      <c r="Y8" s="27">
        <f>IF(24&lt;Drivers!$B$7,0,IF(X8=0,Drivers!$B$14,MIN(Drivers!$B$16,X8*(1+Drivers!$B$15))))</f>
        <v/>
      </c>
      <c r="Z8" s="27">
        <f>IF(25&lt;Drivers!$B$7,0,IF(Y8=0,Drivers!$B$14,MIN(Drivers!$B$16,Y8*(1+Drivers!$B$15))))</f>
        <v/>
      </c>
      <c r="AA8" s="27">
        <f>IF(26&lt;Drivers!$B$7,0,IF(Z8=0,Drivers!$B$14,MIN(Drivers!$B$16,Z8*(1+Drivers!$B$15))))</f>
        <v/>
      </c>
      <c r="AB8" s="27">
        <f>IF(27&lt;Drivers!$B$7,0,IF(AA8=0,Drivers!$B$14,MIN(Drivers!$B$16,AA8*(1+Drivers!$B$15))))</f>
        <v/>
      </c>
      <c r="AC8" s="27">
        <f>IF(28&lt;Drivers!$B$7,0,IF(AB8=0,Drivers!$B$14,MIN(Drivers!$B$16,AB8*(1+Drivers!$B$15))))</f>
        <v/>
      </c>
      <c r="AD8" s="27">
        <f>IF(29&lt;Drivers!$B$7,0,IF(AC8=0,Drivers!$B$14,MIN(Drivers!$B$16,AC8*(1+Drivers!$B$15))))</f>
        <v/>
      </c>
      <c r="AE8" s="27">
        <f>IF(30&lt;Drivers!$B$7,0,IF(AD8=0,Drivers!$B$14,MIN(Drivers!$B$16,AD8*(1+Drivers!$B$15))))</f>
        <v/>
      </c>
      <c r="AF8" s="27">
        <f>IF(31&lt;Drivers!$B$7,0,IF(AE8=0,Drivers!$B$14,MIN(Drivers!$B$16,AE8*(1+Drivers!$B$15))))</f>
        <v/>
      </c>
      <c r="AG8" s="27">
        <f>IF(32&lt;Drivers!$B$7,0,IF(AF8=0,Drivers!$B$14,MIN(Drivers!$B$16,AF8*(1+Drivers!$B$15))))</f>
        <v/>
      </c>
      <c r="AH8" s="27">
        <f>IF(33&lt;Drivers!$B$7,0,IF(AG8=0,Drivers!$B$14,MIN(Drivers!$B$16,AG8*(1+Drivers!$B$15))))</f>
        <v/>
      </c>
      <c r="AI8" s="27">
        <f>IF(34&lt;Drivers!$B$7,0,IF(AH8=0,Drivers!$B$14,MIN(Drivers!$B$16,AH8*(1+Drivers!$B$15))))</f>
        <v/>
      </c>
      <c r="AJ8" s="27">
        <f>IF(35&lt;Drivers!$B$7,0,IF(AI8=0,Drivers!$B$14,MIN(Drivers!$B$16,AI8*(1+Drivers!$B$15))))</f>
        <v/>
      </c>
      <c r="AK8" s="27">
        <f>IF(36&lt;Drivers!$B$7,0,IF(AJ8=0,Drivers!$B$14,MIN(Drivers!$B$16,AJ8*(1+Drivers!$B$15))))</f>
        <v/>
      </c>
    </row>
    <row r="9">
      <c r="A9" t="inlineStr">
        <is>
          <t>Paid adds (marketing ÷ CAC)</t>
        </is>
      </c>
      <c r="B9" s="27">
        <f>IF(Drivers!$B$17=0,0,B8/Drivers!$B$17)</f>
        <v/>
      </c>
      <c r="C9" s="27">
        <f>IF(Drivers!$B$17=0,0,C8/Drivers!$B$17)</f>
        <v/>
      </c>
      <c r="D9" s="27">
        <f>IF(Drivers!$B$17=0,0,D8/Drivers!$B$17)</f>
        <v/>
      </c>
      <c r="E9" s="27">
        <f>IF(Drivers!$B$17=0,0,E8/Drivers!$B$17)</f>
        <v/>
      </c>
      <c r="F9" s="27">
        <f>IF(Drivers!$B$17=0,0,F8/Drivers!$B$17)</f>
        <v/>
      </c>
      <c r="G9" s="27">
        <f>IF(Drivers!$B$17=0,0,G8/Drivers!$B$17)</f>
        <v/>
      </c>
      <c r="H9" s="27">
        <f>IF(Drivers!$B$17=0,0,H8/Drivers!$B$17)</f>
        <v/>
      </c>
      <c r="I9" s="27">
        <f>IF(Drivers!$B$17=0,0,I8/Drivers!$B$17)</f>
        <v/>
      </c>
      <c r="J9" s="27">
        <f>IF(Drivers!$B$17=0,0,J8/Drivers!$B$17)</f>
        <v/>
      </c>
      <c r="K9" s="27">
        <f>IF(Drivers!$B$17=0,0,K8/Drivers!$B$17)</f>
        <v/>
      </c>
      <c r="L9" s="27">
        <f>IF(Drivers!$B$17=0,0,L8/Drivers!$B$17)</f>
        <v/>
      </c>
      <c r="M9" s="27">
        <f>IF(Drivers!$B$17=0,0,M8/Drivers!$B$17)</f>
        <v/>
      </c>
      <c r="N9" s="27">
        <f>IF(Drivers!$B$17=0,0,N8/Drivers!$B$17)</f>
        <v/>
      </c>
      <c r="O9" s="27">
        <f>IF(Drivers!$B$17=0,0,O8/Drivers!$B$17)</f>
        <v/>
      </c>
      <c r="P9" s="27">
        <f>IF(Drivers!$B$17=0,0,P8/Drivers!$B$17)</f>
        <v/>
      </c>
      <c r="Q9" s="27">
        <f>IF(Drivers!$B$17=0,0,Q8/Drivers!$B$17)</f>
        <v/>
      </c>
      <c r="R9" s="27">
        <f>IF(Drivers!$B$17=0,0,R8/Drivers!$B$17)</f>
        <v/>
      </c>
      <c r="S9" s="27">
        <f>IF(Drivers!$B$17=0,0,S8/Drivers!$B$17)</f>
        <v/>
      </c>
      <c r="T9" s="27">
        <f>IF(Drivers!$B$17=0,0,T8/Drivers!$B$17)</f>
        <v/>
      </c>
      <c r="U9" s="27">
        <f>IF(Drivers!$B$17=0,0,U8/Drivers!$B$17)</f>
        <v/>
      </c>
      <c r="V9" s="27">
        <f>IF(Drivers!$B$17=0,0,V8/Drivers!$B$17)</f>
        <v/>
      </c>
      <c r="W9" s="27">
        <f>IF(Drivers!$B$17=0,0,W8/Drivers!$B$17)</f>
        <v/>
      </c>
      <c r="X9" s="27">
        <f>IF(Drivers!$B$17=0,0,X8/Drivers!$B$17)</f>
        <v/>
      </c>
      <c r="Y9" s="27">
        <f>IF(Drivers!$B$17=0,0,Y8/Drivers!$B$17)</f>
        <v/>
      </c>
      <c r="Z9" s="27">
        <f>IF(Drivers!$B$17=0,0,Z8/Drivers!$B$17)</f>
        <v/>
      </c>
      <c r="AA9" s="27">
        <f>IF(Drivers!$B$17=0,0,AA8/Drivers!$B$17)</f>
        <v/>
      </c>
      <c r="AB9" s="27">
        <f>IF(Drivers!$B$17=0,0,AB8/Drivers!$B$17)</f>
        <v/>
      </c>
      <c r="AC9" s="27">
        <f>IF(Drivers!$B$17=0,0,AC8/Drivers!$B$17)</f>
        <v/>
      </c>
      <c r="AD9" s="27">
        <f>IF(Drivers!$B$17=0,0,AD8/Drivers!$B$17)</f>
        <v/>
      </c>
      <c r="AE9" s="27">
        <f>IF(Drivers!$B$17=0,0,AE8/Drivers!$B$17)</f>
        <v/>
      </c>
      <c r="AF9" s="27">
        <f>IF(Drivers!$B$17=0,0,AF8/Drivers!$B$17)</f>
        <v/>
      </c>
      <c r="AG9" s="27">
        <f>IF(Drivers!$B$17=0,0,AG8/Drivers!$B$17)</f>
        <v/>
      </c>
      <c r="AH9" s="27">
        <f>IF(Drivers!$B$17=0,0,AH8/Drivers!$B$17)</f>
        <v/>
      </c>
      <c r="AI9" s="27">
        <f>IF(Drivers!$B$17=0,0,AI8/Drivers!$B$17)</f>
        <v/>
      </c>
      <c r="AJ9" s="27">
        <f>IF(Drivers!$B$17=0,0,AJ8/Drivers!$B$17)</f>
        <v/>
      </c>
      <c r="AK9" s="27">
        <f>IF(Drivers!$B$17=0,0,AK8/Drivers!$B$17)</f>
        <v/>
      </c>
    </row>
    <row r="10">
      <c r="A10" s="28" t="inlineStr">
        <is>
          <t>Gross adds — total</t>
        </is>
      </c>
      <c r="B10" s="29">
        <f>B6+B7+B9</f>
        <v/>
      </c>
      <c r="C10" s="29">
        <f>C6+C7+C9</f>
        <v/>
      </c>
      <c r="D10" s="29">
        <f>D6+D7+D9</f>
        <v/>
      </c>
      <c r="E10" s="29">
        <f>E6+E7+E9</f>
        <v/>
      </c>
      <c r="F10" s="29">
        <f>F6+F7+F9</f>
        <v/>
      </c>
      <c r="G10" s="29">
        <f>G6+G7+G9</f>
        <v/>
      </c>
      <c r="H10" s="29">
        <f>H6+H7+H9</f>
        <v/>
      </c>
      <c r="I10" s="29">
        <f>I6+I7+I9</f>
        <v/>
      </c>
      <c r="J10" s="29">
        <f>J6+J7+J9</f>
        <v/>
      </c>
      <c r="K10" s="29">
        <f>K6+K7+K9</f>
        <v/>
      </c>
      <c r="L10" s="29">
        <f>L6+L7+L9</f>
        <v/>
      </c>
      <c r="M10" s="29">
        <f>M6+M7+M9</f>
        <v/>
      </c>
      <c r="N10" s="29">
        <f>N6+N7+N9</f>
        <v/>
      </c>
      <c r="O10" s="29">
        <f>O6+O7+O9</f>
        <v/>
      </c>
      <c r="P10" s="29">
        <f>P6+P7+P9</f>
        <v/>
      </c>
      <c r="Q10" s="29">
        <f>Q6+Q7+Q9</f>
        <v/>
      </c>
      <c r="R10" s="29">
        <f>R6+R7+R9</f>
        <v/>
      </c>
      <c r="S10" s="29">
        <f>S6+S7+S9</f>
        <v/>
      </c>
      <c r="T10" s="29">
        <f>T6+T7+T9</f>
        <v/>
      </c>
      <c r="U10" s="29">
        <f>U6+U7+U9</f>
        <v/>
      </c>
      <c r="V10" s="29">
        <f>V6+V7+V9</f>
        <v/>
      </c>
      <c r="W10" s="29">
        <f>W6+W7+W9</f>
        <v/>
      </c>
      <c r="X10" s="29">
        <f>X6+X7+X9</f>
        <v/>
      </c>
      <c r="Y10" s="29">
        <f>Y6+Y7+Y9</f>
        <v/>
      </c>
      <c r="Z10" s="29">
        <f>Z6+Z7+Z9</f>
        <v/>
      </c>
      <c r="AA10" s="29">
        <f>AA6+AA7+AA9</f>
        <v/>
      </c>
      <c r="AB10" s="29">
        <f>AB6+AB7+AB9</f>
        <v/>
      </c>
      <c r="AC10" s="29">
        <f>AC6+AC7+AC9</f>
        <v/>
      </c>
      <c r="AD10" s="29">
        <f>AD6+AD7+AD9</f>
        <v/>
      </c>
      <c r="AE10" s="29">
        <f>AE6+AE7+AE9</f>
        <v/>
      </c>
      <c r="AF10" s="29">
        <f>AF6+AF7+AF9</f>
        <v/>
      </c>
      <c r="AG10" s="29">
        <f>AG6+AG7+AG9</f>
        <v/>
      </c>
      <c r="AH10" s="29">
        <f>AH6+AH7+AH9</f>
        <v/>
      </c>
      <c r="AI10" s="29">
        <f>AI6+AI7+AI9</f>
        <v/>
      </c>
      <c r="AJ10" s="29">
        <f>AJ6+AJ7+AJ9</f>
        <v/>
      </c>
      <c r="AK10" s="29">
        <f>AK6+AK7+AK9</f>
        <v/>
      </c>
    </row>
    <row r="11">
      <c r="A11" s="9" t="inlineStr">
        <is>
          <t>MONTHLY POOL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</row>
    <row r="12">
      <c r="A12" t="inlineStr">
        <is>
          <t>Adds to monthly pool</t>
        </is>
      </c>
      <c r="B12" s="27">
        <f>B10*(1-Drivers!$B$30)</f>
        <v/>
      </c>
      <c r="C12" s="27">
        <f>C10*(1-Drivers!$B$30)</f>
        <v/>
      </c>
      <c r="D12" s="27">
        <f>D10*(1-Drivers!$B$30)</f>
        <v/>
      </c>
      <c r="E12" s="27">
        <f>E10*(1-Drivers!$B$30)</f>
        <v/>
      </c>
      <c r="F12" s="27">
        <f>F10*(1-Drivers!$B$30)</f>
        <v/>
      </c>
      <c r="G12" s="27">
        <f>G10*(1-Drivers!$B$30)</f>
        <v/>
      </c>
      <c r="H12" s="27">
        <f>H10*(1-Drivers!$B$30)</f>
        <v/>
      </c>
      <c r="I12" s="27">
        <f>I10*(1-Drivers!$B$30)</f>
        <v/>
      </c>
      <c r="J12" s="27">
        <f>J10*(1-Drivers!$B$30)</f>
        <v/>
      </c>
      <c r="K12" s="27">
        <f>K10*(1-Drivers!$B$30)</f>
        <v/>
      </c>
      <c r="L12" s="27">
        <f>L10*(1-Drivers!$B$30)</f>
        <v/>
      </c>
      <c r="M12" s="27">
        <f>M10*(1-Drivers!$B$30)</f>
        <v/>
      </c>
      <c r="N12" s="27">
        <f>N10*(1-Drivers!$B$30)</f>
        <v/>
      </c>
      <c r="O12" s="27">
        <f>O10*(1-Drivers!$B$30)</f>
        <v/>
      </c>
      <c r="P12" s="27">
        <f>P10*(1-Drivers!$B$30)</f>
        <v/>
      </c>
      <c r="Q12" s="27">
        <f>Q10*(1-Drivers!$B$30)</f>
        <v/>
      </c>
      <c r="R12" s="27">
        <f>R10*(1-Drivers!$B$30)</f>
        <v/>
      </c>
      <c r="S12" s="27">
        <f>S10*(1-Drivers!$B$30)</f>
        <v/>
      </c>
      <c r="T12" s="27">
        <f>T10*(1-Drivers!$B$30)</f>
        <v/>
      </c>
      <c r="U12" s="27">
        <f>U10*(1-Drivers!$B$30)</f>
        <v/>
      </c>
      <c r="V12" s="27">
        <f>V10*(1-Drivers!$B$30)</f>
        <v/>
      </c>
      <c r="W12" s="27">
        <f>W10*(1-Drivers!$B$30)</f>
        <v/>
      </c>
      <c r="X12" s="27">
        <f>X10*(1-Drivers!$B$30)</f>
        <v/>
      </c>
      <c r="Y12" s="27">
        <f>Y10*(1-Drivers!$B$30)</f>
        <v/>
      </c>
      <c r="Z12" s="27">
        <f>Z10*(1-Drivers!$B$30)</f>
        <v/>
      </c>
      <c r="AA12" s="27">
        <f>AA10*(1-Drivers!$B$30)</f>
        <v/>
      </c>
      <c r="AB12" s="27">
        <f>AB10*(1-Drivers!$B$30)</f>
        <v/>
      </c>
      <c r="AC12" s="27">
        <f>AC10*(1-Drivers!$B$30)</f>
        <v/>
      </c>
      <c r="AD12" s="27">
        <f>AD10*(1-Drivers!$B$30)</f>
        <v/>
      </c>
      <c r="AE12" s="27">
        <f>AE10*(1-Drivers!$B$30)</f>
        <v/>
      </c>
      <c r="AF12" s="27">
        <f>AF10*(1-Drivers!$B$30)</f>
        <v/>
      </c>
      <c r="AG12" s="27">
        <f>AG10*(1-Drivers!$B$30)</f>
        <v/>
      </c>
      <c r="AH12" s="27">
        <f>AH10*(1-Drivers!$B$30)</f>
        <v/>
      </c>
      <c r="AI12" s="27">
        <f>AI10*(1-Drivers!$B$30)</f>
        <v/>
      </c>
      <c r="AJ12" s="27">
        <f>AJ10*(1-Drivers!$B$30)</f>
        <v/>
      </c>
      <c r="AK12" s="27">
        <f>AK10*(1-Drivers!$B$30)</f>
        <v/>
      </c>
    </row>
    <row r="13">
      <c r="A13" t="inlineStr">
        <is>
          <t xml:space="preserve">  less first-month drop</t>
        </is>
      </c>
      <c r="B13" s="27">
        <f>-B12*Drivers!$B$20</f>
        <v/>
      </c>
      <c r="C13" s="27">
        <f>-C12*Drivers!$B$20</f>
        <v/>
      </c>
      <c r="D13" s="27">
        <f>-D12*Drivers!$B$20</f>
        <v/>
      </c>
      <c r="E13" s="27">
        <f>-E12*Drivers!$B$20</f>
        <v/>
      </c>
      <c r="F13" s="27">
        <f>-F12*Drivers!$B$20</f>
        <v/>
      </c>
      <c r="G13" s="27">
        <f>-G12*Drivers!$B$20</f>
        <v/>
      </c>
      <c r="H13" s="27">
        <f>-H12*Drivers!$B$20</f>
        <v/>
      </c>
      <c r="I13" s="27">
        <f>-I12*Drivers!$B$20</f>
        <v/>
      </c>
      <c r="J13" s="27">
        <f>-J12*Drivers!$B$20</f>
        <v/>
      </c>
      <c r="K13" s="27">
        <f>-K12*Drivers!$B$20</f>
        <v/>
      </c>
      <c r="L13" s="27">
        <f>-L12*Drivers!$B$20</f>
        <v/>
      </c>
      <c r="M13" s="27">
        <f>-M12*Drivers!$B$20</f>
        <v/>
      </c>
      <c r="N13" s="27">
        <f>-N12*Drivers!$B$20</f>
        <v/>
      </c>
      <c r="O13" s="27">
        <f>-O12*Drivers!$B$20</f>
        <v/>
      </c>
      <c r="P13" s="27">
        <f>-P12*Drivers!$B$20</f>
        <v/>
      </c>
      <c r="Q13" s="27">
        <f>-Q12*Drivers!$B$20</f>
        <v/>
      </c>
      <c r="R13" s="27">
        <f>-R12*Drivers!$B$20</f>
        <v/>
      </c>
      <c r="S13" s="27">
        <f>-S12*Drivers!$B$20</f>
        <v/>
      </c>
      <c r="T13" s="27">
        <f>-T12*Drivers!$B$20</f>
        <v/>
      </c>
      <c r="U13" s="27">
        <f>-U12*Drivers!$B$20</f>
        <v/>
      </c>
      <c r="V13" s="27">
        <f>-V12*Drivers!$B$20</f>
        <v/>
      </c>
      <c r="W13" s="27">
        <f>-W12*Drivers!$B$20</f>
        <v/>
      </c>
      <c r="X13" s="27">
        <f>-X12*Drivers!$B$20</f>
        <v/>
      </c>
      <c r="Y13" s="27">
        <f>-Y12*Drivers!$B$20</f>
        <v/>
      </c>
      <c r="Z13" s="27">
        <f>-Z12*Drivers!$B$20</f>
        <v/>
      </c>
      <c r="AA13" s="27">
        <f>-AA12*Drivers!$B$20</f>
        <v/>
      </c>
      <c r="AB13" s="27">
        <f>-AB12*Drivers!$B$20</f>
        <v/>
      </c>
      <c r="AC13" s="27">
        <f>-AC12*Drivers!$B$20</f>
        <v/>
      </c>
      <c r="AD13" s="27">
        <f>-AD12*Drivers!$B$20</f>
        <v/>
      </c>
      <c r="AE13" s="27">
        <f>-AE12*Drivers!$B$20</f>
        <v/>
      </c>
      <c r="AF13" s="27">
        <f>-AF12*Drivers!$B$20</f>
        <v/>
      </c>
      <c r="AG13" s="27">
        <f>-AG12*Drivers!$B$20</f>
        <v/>
      </c>
      <c r="AH13" s="27">
        <f>-AH12*Drivers!$B$20</f>
        <v/>
      </c>
      <c r="AI13" s="27">
        <f>-AI12*Drivers!$B$20</f>
        <v/>
      </c>
      <c r="AJ13" s="27">
        <f>-AJ12*Drivers!$B$20</f>
        <v/>
      </c>
      <c r="AK13" s="27">
        <f>-AK12*Drivers!$B$20</f>
        <v/>
      </c>
    </row>
    <row r="14">
      <c r="A14" t="inlineStr">
        <is>
          <t>Net new monthly subs</t>
        </is>
      </c>
      <c r="B14" s="27">
        <f>B12+B13</f>
        <v/>
      </c>
      <c r="C14" s="27">
        <f>C12+C13</f>
        <v/>
      </c>
      <c r="D14" s="27">
        <f>D12+D13</f>
        <v/>
      </c>
      <c r="E14" s="27">
        <f>E12+E13</f>
        <v/>
      </c>
      <c r="F14" s="27">
        <f>F12+F13</f>
        <v/>
      </c>
      <c r="G14" s="27">
        <f>G12+G13</f>
        <v/>
      </c>
      <c r="H14" s="27">
        <f>H12+H13</f>
        <v/>
      </c>
      <c r="I14" s="27">
        <f>I12+I13</f>
        <v/>
      </c>
      <c r="J14" s="27">
        <f>J12+J13</f>
        <v/>
      </c>
      <c r="K14" s="27">
        <f>K12+K13</f>
        <v/>
      </c>
      <c r="L14" s="27">
        <f>L12+L13</f>
        <v/>
      </c>
      <c r="M14" s="27">
        <f>M12+M13</f>
        <v/>
      </c>
      <c r="N14" s="27">
        <f>N12+N13</f>
        <v/>
      </c>
      <c r="O14" s="27">
        <f>O12+O13</f>
        <v/>
      </c>
      <c r="P14" s="27">
        <f>P12+P13</f>
        <v/>
      </c>
      <c r="Q14" s="27">
        <f>Q12+Q13</f>
        <v/>
      </c>
      <c r="R14" s="27">
        <f>R12+R13</f>
        <v/>
      </c>
      <c r="S14" s="27">
        <f>S12+S13</f>
        <v/>
      </c>
      <c r="T14" s="27">
        <f>T12+T13</f>
        <v/>
      </c>
      <c r="U14" s="27">
        <f>U12+U13</f>
        <v/>
      </c>
      <c r="V14" s="27">
        <f>V12+V13</f>
        <v/>
      </c>
      <c r="W14" s="27">
        <f>W12+W13</f>
        <v/>
      </c>
      <c r="X14" s="27">
        <f>X12+X13</f>
        <v/>
      </c>
      <c r="Y14" s="27">
        <f>Y12+Y13</f>
        <v/>
      </c>
      <c r="Z14" s="27">
        <f>Z12+Z13</f>
        <v/>
      </c>
      <c r="AA14" s="27">
        <f>AA12+AA13</f>
        <v/>
      </c>
      <c r="AB14" s="27">
        <f>AB12+AB13</f>
        <v/>
      </c>
      <c r="AC14" s="27">
        <f>AC12+AC13</f>
        <v/>
      </c>
      <c r="AD14" s="27">
        <f>AD12+AD13</f>
        <v/>
      </c>
      <c r="AE14" s="27">
        <f>AE12+AE13</f>
        <v/>
      </c>
      <c r="AF14" s="27">
        <f>AF12+AF13</f>
        <v/>
      </c>
      <c r="AG14" s="27">
        <f>AG12+AG13</f>
        <v/>
      </c>
      <c r="AH14" s="27">
        <f>AH12+AH13</f>
        <v/>
      </c>
      <c r="AI14" s="27">
        <f>AI12+AI13</f>
        <v/>
      </c>
      <c r="AJ14" s="27">
        <f>AJ12+AJ13</f>
        <v/>
      </c>
      <c r="AK14" s="27">
        <f>AK12+AK13</f>
        <v/>
      </c>
    </row>
    <row r="15">
      <c r="A15" t="inlineStr">
        <is>
          <t>Churned (ongoing)</t>
        </is>
      </c>
      <c r="B15" s="27" t="n">
        <v>0</v>
      </c>
      <c r="C15" s="27">
        <f>-B16*Drivers!$B$19</f>
        <v/>
      </c>
      <c r="D15" s="27">
        <f>-C16*Drivers!$B$19</f>
        <v/>
      </c>
      <c r="E15" s="27">
        <f>-D16*Drivers!$B$19</f>
        <v/>
      </c>
      <c r="F15" s="27">
        <f>-E16*Drivers!$B$19</f>
        <v/>
      </c>
      <c r="G15" s="27">
        <f>-F16*Drivers!$B$19</f>
        <v/>
      </c>
      <c r="H15" s="27">
        <f>-G16*Drivers!$B$19</f>
        <v/>
      </c>
      <c r="I15" s="27">
        <f>-H16*Drivers!$B$19</f>
        <v/>
      </c>
      <c r="J15" s="27">
        <f>-I16*Drivers!$B$19</f>
        <v/>
      </c>
      <c r="K15" s="27">
        <f>-J16*Drivers!$B$19</f>
        <v/>
      </c>
      <c r="L15" s="27">
        <f>-K16*Drivers!$B$19</f>
        <v/>
      </c>
      <c r="M15" s="27">
        <f>-L16*Drivers!$B$19</f>
        <v/>
      </c>
      <c r="N15" s="27">
        <f>-M16*Drivers!$B$19</f>
        <v/>
      </c>
      <c r="O15" s="27">
        <f>-N16*Drivers!$B$19</f>
        <v/>
      </c>
      <c r="P15" s="27">
        <f>-O16*Drivers!$B$19</f>
        <v/>
      </c>
      <c r="Q15" s="27">
        <f>-P16*Drivers!$B$19</f>
        <v/>
      </c>
      <c r="R15" s="27">
        <f>-Q16*Drivers!$B$19</f>
        <v/>
      </c>
      <c r="S15" s="27">
        <f>-R16*Drivers!$B$19</f>
        <v/>
      </c>
      <c r="T15" s="27">
        <f>-S16*Drivers!$B$19</f>
        <v/>
      </c>
      <c r="U15" s="27">
        <f>-T16*Drivers!$B$19</f>
        <v/>
      </c>
      <c r="V15" s="27">
        <f>-U16*Drivers!$B$19</f>
        <v/>
      </c>
      <c r="W15" s="27">
        <f>-V16*Drivers!$B$19</f>
        <v/>
      </c>
      <c r="X15" s="27">
        <f>-W16*Drivers!$B$19</f>
        <v/>
      </c>
      <c r="Y15" s="27">
        <f>-X16*Drivers!$B$19</f>
        <v/>
      </c>
      <c r="Z15" s="27">
        <f>-Y16*Drivers!$B$19</f>
        <v/>
      </c>
      <c r="AA15" s="27">
        <f>-Z16*Drivers!$B$19</f>
        <v/>
      </c>
      <c r="AB15" s="27">
        <f>-AA16*Drivers!$B$19</f>
        <v/>
      </c>
      <c r="AC15" s="27">
        <f>-AB16*Drivers!$B$19</f>
        <v/>
      </c>
      <c r="AD15" s="27">
        <f>-AC16*Drivers!$B$19</f>
        <v/>
      </c>
      <c r="AE15" s="27">
        <f>-AD16*Drivers!$B$19</f>
        <v/>
      </c>
      <c r="AF15" s="27">
        <f>-AE16*Drivers!$B$19</f>
        <v/>
      </c>
      <c r="AG15" s="27">
        <f>-AF16*Drivers!$B$19</f>
        <v/>
      </c>
      <c r="AH15" s="27">
        <f>-AG16*Drivers!$B$19</f>
        <v/>
      </c>
      <c r="AI15" s="27">
        <f>-AH16*Drivers!$B$19</f>
        <v/>
      </c>
      <c r="AJ15" s="27">
        <f>-AI16*Drivers!$B$19</f>
        <v/>
      </c>
      <c r="AK15" s="27">
        <f>-AJ16*Drivers!$B$19</f>
        <v/>
      </c>
    </row>
    <row r="16">
      <c r="A16" s="12" t="inlineStr">
        <is>
          <t>Monthly-pool subscribers</t>
        </is>
      </c>
      <c r="B16" s="17">
        <f>B14</f>
        <v/>
      </c>
      <c r="C16" s="17">
        <f>B16+C15+C14</f>
        <v/>
      </c>
      <c r="D16" s="17">
        <f>C16+D15+D14</f>
        <v/>
      </c>
      <c r="E16" s="17">
        <f>D16+E15+E14</f>
        <v/>
      </c>
      <c r="F16" s="17">
        <f>E16+F15+F14</f>
        <v/>
      </c>
      <c r="G16" s="17">
        <f>F16+G15+G14</f>
        <v/>
      </c>
      <c r="H16" s="17">
        <f>G16+H15+H14</f>
        <v/>
      </c>
      <c r="I16" s="17">
        <f>H16+I15+I14</f>
        <v/>
      </c>
      <c r="J16" s="17">
        <f>I16+J15+J14</f>
        <v/>
      </c>
      <c r="K16" s="17">
        <f>J16+K15+K14</f>
        <v/>
      </c>
      <c r="L16" s="17">
        <f>K16+L15+L14</f>
        <v/>
      </c>
      <c r="M16" s="17">
        <f>L16+M15+M14</f>
        <v/>
      </c>
      <c r="N16" s="17">
        <f>M16+N15+N14</f>
        <v/>
      </c>
      <c r="O16" s="17">
        <f>N16+O15+O14</f>
        <v/>
      </c>
      <c r="P16" s="17">
        <f>O16+P15+P14</f>
        <v/>
      </c>
      <c r="Q16" s="17">
        <f>P16+Q15+Q14</f>
        <v/>
      </c>
      <c r="R16" s="17">
        <f>Q16+R15+R14</f>
        <v/>
      </c>
      <c r="S16" s="17">
        <f>R16+S15+S14</f>
        <v/>
      </c>
      <c r="T16" s="17">
        <f>S16+T15+T14</f>
        <v/>
      </c>
      <c r="U16" s="17">
        <f>T16+U15+U14</f>
        <v/>
      </c>
      <c r="V16" s="17">
        <f>U16+V15+V14</f>
        <v/>
      </c>
      <c r="W16" s="17">
        <f>V16+W15+W14</f>
        <v/>
      </c>
      <c r="X16" s="17">
        <f>W16+X15+X14</f>
        <v/>
      </c>
      <c r="Y16" s="17">
        <f>X16+Y15+Y14</f>
        <v/>
      </c>
      <c r="Z16" s="17">
        <f>Y16+Z15+Z14</f>
        <v/>
      </c>
      <c r="AA16" s="17">
        <f>Z16+AA15+AA14</f>
        <v/>
      </c>
      <c r="AB16" s="17">
        <f>AA16+AB15+AB14</f>
        <v/>
      </c>
      <c r="AC16" s="17">
        <f>AB16+AC15+AC14</f>
        <v/>
      </c>
      <c r="AD16" s="17">
        <f>AC16+AD15+AD14</f>
        <v/>
      </c>
      <c r="AE16" s="17">
        <f>AD16+AE15+AE14</f>
        <v/>
      </c>
      <c r="AF16" s="17">
        <f>AE16+AF15+AF14</f>
        <v/>
      </c>
      <c r="AG16" s="17">
        <f>AF16+AG15+AG14</f>
        <v/>
      </c>
      <c r="AH16" s="17">
        <f>AG16+AH15+AH14</f>
        <v/>
      </c>
      <c r="AI16" s="17">
        <f>AH16+AI15+AI14</f>
        <v/>
      </c>
      <c r="AJ16" s="17">
        <f>AI16+AJ15+AJ14</f>
        <v/>
      </c>
      <c r="AK16" s="17">
        <f>AJ16+AK15+AK14</f>
        <v/>
      </c>
    </row>
    <row r="17">
      <c r="A17" s="9" t="inlineStr">
        <is>
          <t>ANNUAL POOL (prepaid ~9.9 months)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</row>
    <row r="18">
      <c r="A18" t="inlineStr">
        <is>
          <t>Adds to annual pool</t>
        </is>
      </c>
      <c r="B18" s="27">
        <f>B10*Drivers!$B$30</f>
        <v/>
      </c>
      <c r="C18" s="27">
        <f>C10*Drivers!$B$30</f>
        <v/>
      </c>
      <c r="D18" s="27">
        <f>D10*Drivers!$B$30</f>
        <v/>
      </c>
      <c r="E18" s="27">
        <f>E10*Drivers!$B$30</f>
        <v/>
      </c>
      <c r="F18" s="27">
        <f>F10*Drivers!$B$30</f>
        <v/>
      </c>
      <c r="G18" s="27">
        <f>G10*Drivers!$B$30</f>
        <v/>
      </c>
      <c r="H18" s="27">
        <f>H10*Drivers!$B$30</f>
        <v/>
      </c>
      <c r="I18" s="27">
        <f>I10*Drivers!$B$30</f>
        <v/>
      </c>
      <c r="J18" s="27">
        <f>J10*Drivers!$B$30</f>
        <v/>
      </c>
      <c r="K18" s="27">
        <f>K10*Drivers!$B$30</f>
        <v/>
      </c>
      <c r="L18" s="27">
        <f>L10*Drivers!$B$30</f>
        <v/>
      </c>
      <c r="M18" s="27">
        <f>M10*Drivers!$B$30</f>
        <v/>
      </c>
      <c r="N18" s="27">
        <f>N10*Drivers!$B$30</f>
        <v/>
      </c>
      <c r="O18" s="27">
        <f>O10*Drivers!$B$30</f>
        <v/>
      </c>
      <c r="P18" s="27">
        <f>P10*Drivers!$B$30</f>
        <v/>
      </c>
      <c r="Q18" s="27">
        <f>Q10*Drivers!$B$30</f>
        <v/>
      </c>
      <c r="R18" s="27">
        <f>R10*Drivers!$B$30</f>
        <v/>
      </c>
      <c r="S18" s="27">
        <f>S10*Drivers!$B$30</f>
        <v/>
      </c>
      <c r="T18" s="27">
        <f>T10*Drivers!$B$30</f>
        <v/>
      </c>
      <c r="U18" s="27">
        <f>U10*Drivers!$B$30</f>
        <v/>
      </c>
      <c r="V18" s="27">
        <f>V10*Drivers!$B$30</f>
        <v/>
      </c>
      <c r="W18" s="27">
        <f>W10*Drivers!$B$30</f>
        <v/>
      </c>
      <c r="X18" s="27">
        <f>X10*Drivers!$B$30</f>
        <v/>
      </c>
      <c r="Y18" s="27">
        <f>Y10*Drivers!$B$30</f>
        <v/>
      </c>
      <c r="Z18" s="27">
        <f>Z10*Drivers!$B$30</f>
        <v/>
      </c>
      <c r="AA18" s="27">
        <f>AA10*Drivers!$B$30</f>
        <v/>
      </c>
      <c r="AB18" s="27">
        <f>AB10*Drivers!$B$30</f>
        <v/>
      </c>
      <c r="AC18" s="27">
        <f>AC10*Drivers!$B$30</f>
        <v/>
      </c>
      <c r="AD18" s="27">
        <f>AD10*Drivers!$B$30</f>
        <v/>
      </c>
      <c r="AE18" s="27">
        <f>AE10*Drivers!$B$30</f>
        <v/>
      </c>
      <c r="AF18" s="27">
        <f>AF10*Drivers!$B$30</f>
        <v/>
      </c>
      <c r="AG18" s="27">
        <f>AG10*Drivers!$B$30</f>
        <v/>
      </c>
      <c r="AH18" s="27">
        <f>AH10*Drivers!$B$30</f>
        <v/>
      </c>
      <c r="AI18" s="27">
        <f>AI10*Drivers!$B$30</f>
        <v/>
      </c>
      <c r="AJ18" s="27">
        <f>AJ10*Drivers!$B$30</f>
        <v/>
      </c>
      <c r="AK18" s="27">
        <f>AK10*Drivers!$B$30</f>
        <v/>
      </c>
    </row>
    <row r="19">
      <c r="A19" t="inlineStr">
        <is>
          <t>Expiring coh 12 mo later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>
        <f>B18+B20</f>
        <v/>
      </c>
      <c r="O19" s="27">
        <f>C18+C20</f>
        <v/>
      </c>
      <c r="P19" s="27">
        <f>D18+D20</f>
        <v/>
      </c>
      <c r="Q19" s="27">
        <f>E18+E20</f>
        <v/>
      </c>
      <c r="R19" s="27">
        <f>F18+F20</f>
        <v/>
      </c>
      <c r="S19" s="27">
        <f>G18+G20</f>
        <v/>
      </c>
      <c r="T19" s="27">
        <f>H18+H20</f>
        <v/>
      </c>
      <c r="U19" s="27">
        <f>I18+I20</f>
        <v/>
      </c>
      <c r="V19" s="27">
        <f>J18+J20</f>
        <v/>
      </c>
      <c r="W19" s="27">
        <f>K18+K20</f>
        <v/>
      </c>
      <c r="X19" s="27">
        <f>L18+L20</f>
        <v/>
      </c>
      <c r="Y19" s="27">
        <f>M18+M20</f>
        <v/>
      </c>
      <c r="Z19" s="27">
        <f>N18+N20</f>
        <v/>
      </c>
      <c r="AA19" s="27">
        <f>O18+O20</f>
        <v/>
      </c>
      <c r="AB19" s="27">
        <f>P18+P20</f>
        <v/>
      </c>
      <c r="AC19" s="27">
        <f>Q18+Q20</f>
        <v/>
      </c>
      <c r="AD19" s="27">
        <f>R18+R20</f>
        <v/>
      </c>
      <c r="AE19" s="27">
        <f>S18+S20</f>
        <v/>
      </c>
      <c r="AF19" s="27">
        <f>T18+T20</f>
        <v/>
      </c>
      <c r="AG19" s="27">
        <f>U18+U20</f>
        <v/>
      </c>
      <c r="AH19" s="27">
        <f>V18+V20</f>
        <v/>
      </c>
      <c r="AI19" s="27">
        <f>W18+W20</f>
        <v/>
      </c>
      <c r="AJ19" s="27">
        <f>X18+X20</f>
        <v/>
      </c>
      <c r="AK19" s="27">
        <f>Y18+Y20</f>
        <v/>
      </c>
    </row>
    <row r="20">
      <c r="A20" t="inlineStr">
        <is>
          <t>Renewals (1 − non-renewal)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>
        <f>N19*(1-Drivers!$B$21)</f>
        <v/>
      </c>
      <c r="O20" s="27">
        <f>O19*(1-Drivers!$B$21)</f>
        <v/>
      </c>
      <c r="P20" s="27">
        <f>P19*(1-Drivers!$B$21)</f>
        <v/>
      </c>
      <c r="Q20" s="27">
        <f>Q19*(1-Drivers!$B$21)</f>
        <v/>
      </c>
      <c r="R20" s="27">
        <f>R19*(1-Drivers!$B$21)</f>
        <v/>
      </c>
      <c r="S20" s="27">
        <f>S19*(1-Drivers!$B$21)</f>
        <v/>
      </c>
      <c r="T20" s="27">
        <f>T19*(1-Drivers!$B$21)</f>
        <v/>
      </c>
      <c r="U20" s="27">
        <f>U19*(1-Drivers!$B$21)</f>
        <v/>
      </c>
      <c r="V20" s="27">
        <f>V19*(1-Drivers!$B$21)</f>
        <v/>
      </c>
      <c r="W20" s="27">
        <f>W19*(1-Drivers!$B$21)</f>
        <v/>
      </c>
      <c r="X20" s="27">
        <f>X19*(1-Drivers!$B$21)</f>
        <v/>
      </c>
      <c r="Y20" s="27">
        <f>Y19*(1-Drivers!$B$21)</f>
        <v/>
      </c>
      <c r="Z20" s="27">
        <f>Z19*(1-Drivers!$B$21)</f>
        <v/>
      </c>
      <c r="AA20" s="27">
        <f>AA19*(1-Drivers!$B$21)</f>
        <v/>
      </c>
      <c r="AB20" s="27">
        <f>AB19*(1-Drivers!$B$21)</f>
        <v/>
      </c>
      <c r="AC20" s="27">
        <f>AC19*(1-Drivers!$B$21)</f>
        <v/>
      </c>
      <c r="AD20" s="27">
        <f>AD19*(1-Drivers!$B$21)</f>
        <v/>
      </c>
      <c r="AE20" s="27">
        <f>AE19*(1-Drivers!$B$21)</f>
        <v/>
      </c>
      <c r="AF20" s="27">
        <f>AF19*(1-Drivers!$B$21)</f>
        <v/>
      </c>
      <c r="AG20" s="27">
        <f>AG19*(1-Drivers!$B$21)</f>
        <v/>
      </c>
      <c r="AH20" s="27">
        <f>AH19*(1-Drivers!$B$21)</f>
        <v/>
      </c>
      <c r="AI20" s="27">
        <f>AI19*(1-Drivers!$B$21)</f>
        <v/>
      </c>
      <c r="AJ20" s="27">
        <f>AJ19*(1-Drivers!$B$21)</f>
        <v/>
      </c>
      <c r="AK20" s="27">
        <f>AK19*(1-Drivers!$B$21)</f>
        <v/>
      </c>
    </row>
    <row r="21">
      <c r="A21" s="12" t="inlineStr">
        <is>
          <t>Annual-pool subscribers</t>
        </is>
      </c>
      <c r="B21" s="17">
        <f>B18</f>
        <v/>
      </c>
      <c r="C21" s="17">
        <f>B21+C18-C19+C20</f>
        <v/>
      </c>
      <c r="D21" s="17">
        <f>C21+D18-D19+D20</f>
        <v/>
      </c>
      <c r="E21" s="17">
        <f>D21+E18-E19+E20</f>
        <v/>
      </c>
      <c r="F21" s="17">
        <f>E21+F18-F19+F20</f>
        <v/>
      </c>
      <c r="G21" s="17">
        <f>F21+G18-G19+G20</f>
        <v/>
      </c>
      <c r="H21" s="17">
        <f>G21+H18-H19+H20</f>
        <v/>
      </c>
      <c r="I21" s="17">
        <f>H21+I18-I19+I20</f>
        <v/>
      </c>
      <c r="J21" s="17">
        <f>I21+J18-J19+J20</f>
        <v/>
      </c>
      <c r="K21" s="17">
        <f>J21+K18-K19+K20</f>
        <v/>
      </c>
      <c r="L21" s="17">
        <f>K21+L18-L19+L20</f>
        <v/>
      </c>
      <c r="M21" s="17">
        <f>L21+M18-M19+M20</f>
        <v/>
      </c>
      <c r="N21" s="17">
        <f>M21+N18-N19+N20</f>
        <v/>
      </c>
      <c r="O21" s="17">
        <f>N21+O18-O19+O20</f>
        <v/>
      </c>
      <c r="P21" s="17">
        <f>O21+P18-P19+P20</f>
        <v/>
      </c>
      <c r="Q21" s="17">
        <f>P21+Q18-Q19+Q20</f>
        <v/>
      </c>
      <c r="R21" s="17">
        <f>Q21+R18-R19+R20</f>
        <v/>
      </c>
      <c r="S21" s="17">
        <f>R21+S18-S19+S20</f>
        <v/>
      </c>
      <c r="T21" s="17">
        <f>S21+T18-T19+T20</f>
        <v/>
      </c>
      <c r="U21" s="17">
        <f>T21+U18-U19+U20</f>
        <v/>
      </c>
      <c r="V21" s="17">
        <f>U21+V18-V19+V20</f>
        <v/>
      </c>
      <c r="W21" s="17">
        <f>V21+W18-W19+W20</f>
        <v/>
      </c>
      <c r="X21" s="17">
        <f>W21+X18-X19+X20</f>
        <v/>
      </c>
      <c r="Y21" s="17">
        <f>X21+Y18-Y19+Y20</f>
        <v/>
      </c>
      <c r="Z21" s="17">
        <f>Y21+Z18-Z19+Z20</f>
        <v/>
      </c>
      <c r="AA21" s="17">
        <f>Z21+AA18-AA19+AA20</f>
        <v/>
      </c>
      <c r="AB21" s="17">
        <f>AA21+AB18-AB19+AB20</f>
        <v/>
      </c>
      <c r="AC21" s="17">
        <f>AB21+AC18-AC19+AC20</f>
        <v/>
      </c>
      <c r="AD21" s="17">
        <f>AC21+AD18-AD19+AD20</f>
        <v/>
      </c>
      <c r="AE21" s="17">
        <f>AD21+AE18-AE19+AE20</f>
        <v/>
      </c>
      <c r="AF21" s="17">
        <f>AE21+AF18-AF19+AF20</f>
        <v/>
      </c>
      <c r="AG21" s="17">
        <f>AF21+AG18-AG19+AG20</f>
        <v/>
      </c>
      <c r="AH21" s="17">
        <f>AG21+AH18-AH19+AH20</f>
        <v/>
      </c>
      <c r="AI21" s="17">
        <f>AH21+AI18-AI19+AI20</f>
        <v/>
      </c>
      <c r="AJ21" s="17">
        <f>AI21+AJ18-AJ19+AJ20</f>
        <v/>
      </c>
      <c r="AK21" s="17">
        <f>AJ21+AK18-AK19+AK20</f>
        <v/>
      </c>
    </row>
    <row r="22">
      <c r="A22" s="9" t="inlineStr">
        <is>
          <t>TOTALS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</row>
    <row r="23">
      <c r="A23" s="28" t="inlineStr">
        <is>
          <t>Total subscribers</t>
        </is>
      </c>
      <c r="B23" s="29">
        <f>B16+B21</f>
        <v/>
      </c>
      <c r="C23" s="29">
        <f>C16+C21</f>
        <v/>
      </c>
      <c r="D23" s="29">
        <f>D16+D21</f>
        <v/>
      </c>
      <c r="E23" s="29">
        <f>E16+E21</f>
        <v/>
      </c>
      <c r="F23" s="29">
        <f>F16+F21</f>
        <v/>
      </c>
      <c r="G23" s="29">
        <f>G16+G21</f>
        <v/>
      </c>
      <c r="H23" s="29">
        <f>H16+H21</f>
        <v/>
      </c>
      <c r="I23" s="29">
        <f>I16+I21</f>
        <v/>
      </c>
      <c r="J23" s="29">
        <f>J16+J21</f>
        <v/>
      </c>
      <c r="K23" s="29">
        <f>K16+K21</f>
        <v/>
      </c>
      <c r="L23" s="29">
        <f>L16+L21</f>
        <v/>
      </c>
      <c r="M23" s="29">
        <f>M16+M21</f>
        <v/>
      </c>
      <c r="N23" s="29">
        <f>N16+N21</f>
        <v/>
      </c>
      <c r="O23" s="29">
        <f>O16+O21</f>
        <v/>
      </c>
      <c r="P23" s="29">
        <f>P16+P21</f>
        <v/>
      </c>
      <c r="Q23" s="29">
        <f>Q16+Q21</f>
        <v/>
      </c>
      <c r="R23" s="29">
        <f>R16+R21</f>
        <v/>
      </c>
      <c r="S23" s="29">
        <f>S16+S21</f>
        <v/>
      </c>
      <c r="T23" s="29">
        <f>T16+T21</f>
        <v/>
      </c>
      <c r="U23" s="29">
        <f>U16+U21</f>
        <v/>
      </c>
      <c r="V23" s="29">
        <f>V16+V21</f>
        <v/>
      </c>
      <c r="W23" s="29">
        <f>W16+W21</f>
        <v/>
      </c>
      <c r="X23" s="29">
        <f>X16+X21</f>
        <v/>
      </c>
      <c r="Y23" s="29">
        <f>Y16+Y21</f>
        <v/>
      </c>
      <c r="Z23" s="29">
        <f>Z16+Z21</f>
        <v/>
      </c>
      <c r="AA23" s="29">
        <f>AA16+AA21</f>
        <v/>
      </c>
      <c r="AB23" s="29">
        <f>AB16+AB21</f>
        <v/>
      </c>
      <c r="AC23" s="29">
        <f>AC16+AC21</f>
        <v/>
      </c>
      <c r="AD23" s="29">
        <f>AD16+AD21</f>
        <v/>
      </c>
      <c r="AE23" s="29">
        <f>AE16+AE21</f>
        <v/>
      </c>
      <c r="AF23" s="29">
        <f>AF16+AF21</f>
        <v/>
      </c>
      <c r="AG23" s="29">
        <f>AG16+AG21</f>
        <v/>
      </c>
      <c r="AH23" s="29">
        <f>AH16+AH21</f>
        <v/>
      </c>
      <c r="AI23" s="29">
        <f>AI16+AI21</f>
        <v/>
      </c>
      <c r="AJ23" s="29">
        <f>AJ16+AJ21</f>
        <v/>
      </c>
      <c r="AK23" s="29">
        <f>AK16+AK21</f>
        <v/>
      </c>
    </row>
    <row r="24">
      <c r="A24" s="28" t="inlineStr">
        <is>
          <t>Recognized revenue (MRR)</t>
        </is>
      </c>
      <c r="B24" s="29">
        <f>B25+B26</f>
        <v/>
      </c>
      <c r="C24" s="29">
        <f>C25+C26</f>
        <v/>
      </c>
      <c r="D24" s="29">
        <f>D25+D26</f>
        <v/>
      </c>
      <c r="E24" s="29">
        <f>E25+E26</f>
        <v/>
      </c>
      <c r="F24" s="29">
        <f>F25+F26</f>
        <v/>
      </c>
      <c r="G24" s="29">
        <f>G25+G26</f>
        <v/>
      </c>
      <c r="H24" s="29">
        <f>H25+H26</f>
        <v/>
      </c>
      <c r="I24" s="29">
        <f>I25+I26</f>
        <v/>
      </c>
      <c r="J24" s="29">
        <f>J25+J26</f>
        <v/>
      </c>
      <c r="K24" s="29">
        <f>K25+K26</f>
        <v/>
      </c>
      <c r="L24" s="29">
        <f>L25+L26</f>
        <v/>
      </c>
      <c r="M24" s="29">
        <f>M25+M26</f>
        <v/>
      </c>
      <c r="N24" s="29">
        <f>N25+N26</f>
        <v/>
      </c>
      <c r="O24" s="29">
        <f>O25+O26</f>
        <v/>
      </c>
      <c r="P24" s="29">
        <f>P25+P26</f>
        <v/>
      </c>
      <c r="Q24" s="29">
        <f>Q25+Q26</f>
        <v/>
      </c>
      <c r="R24" s="29">
        <f>R25+R26</f>
        <v/>
      </c>
      <c r="S24" s="29">
        <f>S25+S26</f>
        <v/>
      </c>
      <c r="T24" s="29">
        <f>T25+T26</f>
        <v/>
      </c>
      <c r="U24" s="29">
        <f>U25+U26</f>
        <v/>
      </c>
      <c r="V24" s="29">
        <f>V25+V26</f>
        <v/>
      </c>
      <c r="W24" s="29">
        <f>W25+W26</f>
        <v/>
      </c>
      <c r="X24" s="29">
        <f>X25+X26</f>
        <v/>
      </c>
      <c r="Y24" s="29">
        <f>Y25+Y26</f>
        <v/>
      </c>
      <c r="Z24" s="29">
        <f>Z25+Z26</f>
        <v/>
      </c>
      <c r="AA24" s="29">
        <f>AA25+AA26</f>
        <v/>
      </c>
      <c r="AB24" s="29">
        <f>AB25+AB26</f>
        <v/>
      </c>
      <c r="AC24" s="29">
        <f>AC25+AC26</f>
        <v/>
      </c>
      <c r="AD24" s="29">
        <f>AD25+AD26</f>
        <v/>
      </c>
      <c r="AE24" s="29">
        <f>AE25+AE26</f>
        <v/>
      </c>
      <c r="AF24" s="29">
        <f>AF25+AF26</f>
        <v/>
      </c>
      <c r="AG24" s="29">
        <f>AG25+AG26</f>
        <v/>
      </c>
      <c r="AH24" s="29">
        <f>AH25+AH26</f>
        <v/>
      </c>
      <c r="AI24" s="29">
        <f>AI25+AI26</f>
        <v/>
      </c>
      <c r="AJ24" s="29">
        <f>AJ25+AJ26</f>
        <v/>
      </c>
      <c r="AK24" s="29">
        <f>AK25+AK26</f>
        <v/>
      </c>
    </row>
    <row r="25">
      <c r="A25" t="inlineStr">
        <is>
          <t xml:space="preserve">  monthly-pool revenue</t>
        </is>
      </c>
      <c r="B25" s="27">
        <f>B16*Drivers!$B$29</f>
        <v/>
      </c>
      <c r="C25" s="27">
        <f>C16*Drivers!$B$29</f>
        <v/>
      </c>
      <c r="D25" s="27">
        <f>D16*Drivers!$B$29</f>
        <v/>
      </c>
      <c r="E25" s="27">
        <f>E16*Drivers!$B$29</f>
        <v/>
      </c>
      <c r="F25" s="27">
        <f>F16*Drivers!$B$29</f>
        <v/>
      </c>
      <c r="G25" s="27">
        <f>G16*Drivers!$B$29</f>
        <v/>
      </c>
      <c r="H25" s="27">
        <f>H16*Drivers!$B$29</f>
        <v/>
      </c>
      <c r="I25" s="27">
        <f>I16*Drivers!$B$29</f>
        <v/>
      </c>
      <c r="J25" s="27">
        <f>J16*Drivers!$B$29</f>
        <v/>
      </c>
      <c r="K25" s="27">
        <f>K16*Drivers!$B$29</f>
        <v/>
      </c>
      <c r="L25" s="27">
        <f>L16*Drivers!$B$29</f>
        <v/>
      </c>
      <c r="M25" s="27">
        <f>M16*Drivers!$B$29</f>
        <v/>
      </c>
      <c r="N25" s="27">
        <f>N16*Drivers!$B$29</f>
        <v/>
      </c>
      <c r="O25" s="27">
        <f>O16*Drivers!$B$29</f>
        <v/>
      </c>
      <c r="P25" s="27">
        <f>P16*Drivers!$B$29</f>
        <v/>
      </c>
      <c r="Q25" s="27">
        <f>Q16*Drivers!$B$29</f>
        <v/>
      </c>
      <c r="R25" s="27">
        <f>R16*Drivers!$B$29</f>
        <v/>
      </c>
      <c r="S25" s="27">
        <f>S16*Drivers!$B$29</f>
        <v/>
      </c>
      <c r="T25" s="27">
        <f>T16*Drivers!$B$29</f>
        <v/>
      </c>
      <c r="U25" s="27">
        <f>U16*Drivers!$B$29</f>
        <v/>
      </c>
      <c r="V25" s="27">
        <f>V16*Drivers!$B$29</f>
        <v/>
      </c>
      <c r="W25" s="27">
        <f>W16*Drivers!$B$29</f>
        <v/>
      </c>
      <c r="X25" s="27">
        <f>X16*Drivers!$B$29</f>
        <v/>
      </c>
      <c r="Y25" s="27">
        <f>Y16*Drivers!$B$29</f>
        <v/>
      </c>
      <c r="Z25" s="27">
        <f>Z16*Drivers!$B$29</f>
        <v/>
      </c>
      <c r="AA25" s="27">
        <f>AA16*Drivers!$B$29</f>
        <v/>
      </c>
      <c r="AB25" s="27">
        <f>AB16*Drivers!$B$29</f>
        <v/>
      </c>
      <c r="AC25" s="27">
        <f>AC16*Drivers!$B$29</f>
        <v/>
      </c>
      <c r="AD25" s="27">
        <f>AD16*Drivers!$B$29</f>
        <v/>
      </c>
      <c r="AE25" s="27">
        <f>AE16*Drivers!$B$29</f>
        <v/>
      </c>
      <c r="AF25" s="27">
        <f>AF16*Drivers!$B$29</f>
        <v/>
      </c>
      <c r="AG25" s="27">
        <f>AG16*Drivers!$B$29</f>
        <v/>
      </c>
      <c r="AH25" s="27">
        <f>AH16*Drivers!$B$29</f>
        <v/>
      </c>
      <c r="AI25" s="27">
        <f>AI16*Drivers!$B$29</f>
        <v/>
      </c>
      <c r="AJ25" s="27">
        <f>AJ16*Drivers!$B$29</f>
        <v/>
      </c>
      <c r="AK25" s="27">
        <f>AK16*Drivers!$B$29</f>
        <v/>
      </c>
    </row>
    <row r="26">
      <c r="A26" t="inlineStr">
        <is>
          <t xml:space="preserve">  annual-pool revenue (recognized)</t>
        </is>
      </c>
      <c r="B26" s="27">
        <f>B21*Drivers!$B$29*Drivers!$B$31/12</f>
        <v/>
      </c>
      <c r="C26" s="27">
        <f>C21*Drivers!$B$29*Drivers!$B$31/12</f>
        <v/>
      </c>
      <c r="D26" s="27">
        <f>D21*Drivers!$B$29*Drivers!$B$31/12</f>
        <v/>
      </c>
      <c r="E26" s="27">
        <f>E21*Drivers!$B$29*Drivers!$B$31/12</f>
        <v/>
      </c>
      <c r="F26" s="27">
        <f>F21*Drivers!$B$29*Drivers!$B$31/12</f>
        <v/>
      </c>
      <c r="G26" s="27">
        <f>G21*Drivers!$B$29*Drivers!$B$31/12</f>
        <v/>
      </c>
      <c r="H26" s="27">
        <f>H21*Drivers!$B$29*Drivers!$B$31/12</f>
        <v/>
      </c>
      <c r="I26" s="27">
        <f>I21*Drivers!$B$29*Drivers!$B$31/12</f>
        <v/>
      </c>
      <c r="J26" s="27">
        <f>J21*Drivers!$B$29*Drivers!$B$31/12</f>
        <v/>
      </c>
      <c r="K26" s="27">
        <f>K21*Drivers!$B$29*Drivers!$B$31/12</f>
        <v/>
      </c>
      <c r="L26" s="27">
        <f>L21*Drivers!$B$29*Drivers!$B$31/12</f>
        <v/>
      </c>
      <c r="M26" s="27">
        <f>M21*Drivers!$B$29*Drivers!$B$31/12</f>
        <v/>
      </c>
      <c r="N26" s="27">
        <f>N21*Drivers!$B$29*Drivers!$B$31/12</f>
        <v/>
      </c>
      <c r="O26" s="27">
        <f>O21*Drivers!$B$29*Drivers!$B$31/12</f>
        <v/>
      </c>
      <c r="P26" s="27">
        <f>P21*Drivers!$B$29*Drivers!$B$31/12</f>
        <v/>
      </c>
      <c r="Q26" s="27">
        <f>Q21*Drivers!$B$29*Drivers!$B$31/12</f>
        <v/>
      </c>
      <c r="R26" s="27">
        <f>R21*Drivers!$B$29*Drivers!$B$31/12</f>
        <v/>
      </c>
      <c r="S26" s="27">
        <f>S21*Drivers!$B$29*Drivers!$B$31/12</f>
        <v/>
      </c>
      <c r="T26" s="27">
        <f>T21*Drivers!$B$29*Drivers!$B$31/12</f>
        <v/>
      </c>
      <c r="U26" s="27">
        <f>U21*Drivers!$B$29*Drivers!$B$31/12</f>
        <v/>
      </c>
      <c r="V26" s="27">
        <f>V21*Drivers!$B$29*Drivers!$B$31/12</f>
        <v/>
      </c>
      <c r="W26" s="27">
        <f>W21*Drivers!$B$29*Drivers!$B$31/12</f>
        <v/>
      </c>
      <c r="X26" s="27">
        <f>X21*Drivers!$B$29*Drivers!$B$31/12</f>
        <v/>
      </c>
      <c r="Y26" s="27">
        <f>Y21*Drivers!$B$29*Drivers!$B$31/12</f>
        <v/>
      </c>
      <c r="Z26" s="27">
        <f>Z21*Drivers!$B$29*Drivers!$B$31/12</f>
        <v/>
      </c>
      <c r="AA26" s="27">
        <f>AA21*Drivers!$B$29*Drivers!$B$31/12</f>
        <v/>
      </c>
      <c r="AB26" s="27">
        <f>AB21*Drivers!$B$29*Drivers!$B$31/12</f>
        <v/>
      </c>
      <c r="AC26" s="27">
        <f>AC21*Drivers!$B$29*Drivers!$B$31/12</f>
        <v/>
      </c>
      <c r="AD26" s="27">
        <f>AD21*Drivers!$B$29*Drivers!$B$31/12</f>
        <v/>
      </c>
      <c r="AE26" s="27">
        <f>AE21*Drivers!$B$29*Drivers!$B$31/12</f>
        <v/>
      </c>
      <c r="AF26" s="27">
        <f>AF21*Drivers!$B$29*Drivers!$B$31/12</f>
        <v/>
      </c>
      <c r="AG26" s="27">
        <f>AG21*Drivers!$B$29*Drivers!$B$31/12</f>
        <v/>
      </c>
      <c r="AH26" s="27">
        <f>AH21*Drivers!$B$29*Drivers!$B$31/12</f>
        <v/>
      </c>
      <c r="AI26" s="27">
        <f>AI21*Drivers!$B$29*Drivers!$B$31/12</f>
        <v/>
      </c>
      <c r="AJ26" s="27">
        <f>AJ21*Drivers!$B$29*Drivers!$B$31/12</f>
        <v/>
      </c>
      <c r="AK26" s="27">
        <f>AK21*Drivers!$B$29*Drivers!$B$31/12</f>
        <v/>
      </c>
    </row>
    <row r="27">
      <c r="A27" s="12" t="inlineStr">
        <is>
          <t>Billings (cash collected)</t>
        </is>
      </c>
      <c r="B27" s="17">
        <f>B25+B28</f>
        <v/>
      </c>
      <c r="C27" s="17">
        <f>C25+C28</f>
        <v/>
      </c>
      <c r="D27" s="17">
        <f>D25+D28</f>
        <v/>
      </c>
      <c r="E27" s="17">
        <f>E25+E28</f>
        <v/>
      </c>
      <c r="F27" s="17">
        <f>F25+F28</f>
        <v/>
      </c>
      <c r="G27" s="17">
        <f>G25+G28</f>
        <v/>
      </c>
      <c r="H27" s="17">
        <f>H25+H28</f>
        <v/>
      </c>
      <c r="I27" s="17">
        <f>I25+I28</f>
        <v/>
      </c>
      <c r="J27" s="17">
        <f>J25+J28</f>
        <v/>
      </c>
      <c r="K27" s="17">
        <f>K25+K28</f>
        <v/>
      </c>
      <c r="L27" s="17">
        <f>L25+L28</f>
        <v/>
      </c>
      <c r="M27" s="17">
        <f>M25+M28</f>
        <v/>
      </c>
      <c r="N27" s="17">
        <f>N25+N28</f>
        <v/>
      </c>
      <c r="O27" s="17">
        <f>O25+O28</f>
        <v/>
      </c>
      <c r="P27" s="17">
        <f>P25+P28</f>
        <v/>
      </c>
      <c r="Q27" s="17">
        <f>Q25+Q28</f>
        <v/>
      </c>
      <c r="R27" s="17">
        <f>R25+R28</f>
        <v/>
      </c>
      <c r="S27" s="17">
        <f>S25+S28</f>
        <v/>
      </c>
      <c r="T27" s="17">
        <f>T25+T28</f>
        <v/>
      </c>
      <c r="U27" s="17">
        <f>U25+U28</f>
        <v/>
      </c>
      <c r="V27" s="17">
        <f>V25+V28</f>
        <v/>
      </c>
      <c r="W27" s="17">
        <f>W25+W28</f>
        <v/>
      </c>
      <c r="X27" s="17">
        <f>X25+X28</f>
        <v/>
      </c>
      <c r="Y27" s="17">
        <f>Y25+Y28</f>
        <v/>
      </c>
      <c r="Z27" s="17">
        <f>Z25+Z28</f>
        <v/>
      </c>
      <c r="AA27" s="17">
        <f>AA25+AA28</f>
        <v/>
      </c>
      <c r="AB27" s="17">
        <f>AB25+AB28</f>
        <v/>
      </c>
      <c r="AC27" s="17">
        <f>AC25+AC28</f>
        <v/>
      </c>
      <c r="AD27" s="17">
        <f>AD25+AD28</f>
        <v/>
      </c>
      <c r="AE27" s="17">
        <f>AE25+AE28</f>
        <v/>
      </c>
      <c r="AF27" s="17">
        <f>AF25+AF28</f>
        <v/>
      </c>
      <c r="AG27" s="17">
        <f>AG25+AG28</f>
        <v/>
      </c>
      <c r="AH27" s="17">
        <f>AH25+AH28</f>
        <v/>
      </c>
      <c r="AI27" s="17">
        <f>AI25+AI28</f>
        <v/>
      </c>
      <c r="AJ27" s="17">
        <f>AJ25+AJ28</f>
        <v/>
      </c>
      <c r="AK27" s="17">
        <f>AK25+AK28</f>
        <v/>
      </c>
    </row>
    <row r="28">
      <c r="A28" t="inlineStr">
        <is>
          <t xml:space="preserve">  annual billings (new + renewals)</t>
        </is>
      </c>
      <c r="B28" s="27">
        <f>(B18+B20)*Drivers!$B$29*Drivers!$B$31</f>
        <v/>
      </c>
      <c r="C28" s="27">
        <f>(C18+C20)*Drivers!$B$29*Drivers!$B$31</f>
        <v/>
      </c>
      <c r="D28" s="27">
        <f>(D18+D20)*Drivers!$B$29*Drivers!$B$31</f>
        <v/>
      </c>
      <c r="E28" s="27">
        <f>(E18+E20)*Drivers!$B$29*Drivers!$B$31</f>
        <v/>
      </c>
      <c r="F28" s="27">
        <f>(F18+F20)*Drivers!$B$29*Drivers!$B$31</f>
        <v/>
      </c>
      <c r="G28" s="27">
        <f>(G18+G20)*Drivers!$B$29*Drivers!$B$31</f>
        <v/>
      </c>
      <c r="H28" s="27">
        <f>(H18+H20)*Drivers!$B$29*Drivers!$B$31</f>
        <v/>
      </c>
      <c r="I28" s="27">
        <f>(I18+I20)*Drivers!$B$29*Drivers!$B$31</f>
        <v/>
      </c>
      <c r="J28" s="27">
        <f>(J18+J20)*Drivers!$B$29*Drivers!$B$31</f>
        <v/>
      </c>
      <c r="K28" s="27">
        <f>(K18+K20)*Drivers!$B$29*Drivers!$B$31</f>
        <v/>
      </c>
      <c r="L28" s="27">
        <f>(L18+L20)*Drivers!$B$29*Drivers!$B$31</f>
        <v/>
      </c>
      <c r="M28" s="27">
        <f>(M18+M20)*Drivers!$B$29*Drivers!$B$31</f>
        <v/>
      </c>
      <c r="N28" s="27">
        <f>(N18+N20)*Drivers!$B$29*Drivers!$B$31</f>
        <v/>
      </c>
      <c r="O28" s="27">
        <f>(O18+O20)*Drivers!$B$29*Drivers!$B$31</f>
        <v/>
      </c>
      <c r="P28" s="27">
        <f>(P18+P20)*Drivers!$B$29*Drivers!$B$31</f>
        <v/>
      </c>
      <c r="Q28" s="27">
        <f>(Q18+Q20)*Drivers!$B$29*Drivers!$B$31</f>
        <v/>
      </c>
      <c r="R28" s="27">
        <f>(R18+R20)*Drivers!$B$29*Drivers!$B$31</f>
        <v/>
      </c>
      <c r="S28" s="27">
        <f>(S18+S20)*Drivers!$B$29*Drivers!$B$31</f>
        <v/>
      </c>
      <c r="T28" s="27">
        <f>(T18+T20)*Drivers!$B$29*Drivers!$B$31</f>
        <v/>
      </c>
      <c r="U28" s="27">
        <f>(U18+U20)*Drivers!$B$29*Drivers!$B$31</f>
        <v/>
      </c>
      <c r="V28" s="27">
        <f>(V18+V20)*Drivers!$B$29*Drivers!$B$31</f>
        <v/>
      </c>
      <c r="W28" s="27">
        <f>(W18+W20)*Drivers!$B$29*Drivers!$B$31</f>
        <v/>
      </c>
      <c r="X28" s="27">
        <f>(X18+X20)*Drivers!$B$29*Drivers!$B$31</f>
        <v/>
      </c>
      <c r="Y28" s="27">
        <f>(Y18+Y20)*Drivers!$B$29*Drivers!$B$31</f>
        <v/>
      </c>
      <c r="Z28" s="27">
        <f>(Z18+Z20)*Drivers!$B$29*Drivers!$B$31</f>
        <v/>
      </c>
      <c r="AA28" s="27">
        <f>(AA18+AA20)*Drivers!$B$29*Drivers!$B$31</f>
        <v/>
      </c>
      <c r="AB28" s="27">
        <f>(AB18+AB20)*Drivers!$B$29*Drivers!$B$31</f>
        <v/>
      </c>
      <c r="AC28" s="27">
        <f>(AC18+AC20)*Drivers!$B$29*Drivers!$B$31</f>
        <v/>
      </c>
      <c r="AD28" s="27">
        <f>(AD18+AD20)*Drivers!$B$29*Drivers!$B$31</f>
        <v/>
      </c>
      <c r="AE28" s="27">
        <f>(AE18+AE20)*Drivers!$B$29*Drivers!$B$31</f>
        <v/>
      </c>
      <c r="AF28" s="27">
        <f>(AF18+AF20)*Drivers!$B$29*Drivers!$B$31</f>
        <v/>
      </c>
      <c r="AG28" s="27">
        <f>(AG18+AG20)*Drivers!$B$29*Drivers!$B$31</f>
        <v/>
      </c>
      <c r="AH28" s="27">
        <f>(AH18+AH20)*Drivers!$B$29*Drivers!$B$31</f>
        <v/>
      </c>
      <c r="AI28" s="27">
        <f>(AI18+AI20)*Drivers!$B$29*Drivers!$B$31</f>
        <v/>
      </c>
      <c r="AJ28" s="27">
        <f>(AJ18+AJ20)*Drivers!$B$29*Drivers!$B$31</f>
        <v/>
      </c>
      <c r="AK28" s="27">
        <f>(AK18+AK20)*Drivers!$B$29*Drivers!$B$31</f>
        <v/>
      </c>
    </row>
    <row r="29">
      <c r="A29" s="12" t="inlineStr">
        <is>
          <t>Deferred revenue (balance)</t>
        </is>
      </c>
      <c r="B29" s="17">
        <f>B28-B26</f>
        <v/>
      </c>
      <c r="C29" s="17">
        <f>MAX(0,B29+C28-C26)</f>
        <v/>
      </c>
      <c r="D29" s="17">
        <f>MAX(0,C29+D28-D26)</f>
        <v/>
      </c>
      <c r="E29" s="17">
        <f>MAX(0,D29+E28-E26)</f>
        <v/>
      </c>
      <c r="F29" s="17">
        <f>MAX(0,E29+F28-F26)</f>
        <v/>
      </c>
      <c r="G29" s="17">
        <f>MAX(0,F29+G28-G26)</f>
        <v/>
      </c>
      <c r="H29" s="17">
        <f>MAX(0,G29+H28-H26)</f>
        <v/>
      </c>
      <c r="I29" s="17">
        <f>MAX(0,H29+I28-I26)</f>
        <v/>
      </c>
      <c r="J29" s="17">
        <f>MAX(0,I29+J28-J26)</f>
        <v/>
      </c>
      <c r="K29" s="17">
        <f>MAX(0,J29+K28-K26)</f>
        <v/>
      </c>
      <c r="L29" s="17">
        <f>MAX(0,K29+L28-L26)</f>
        <v/>
      </c>
      <c r="M29" s="17">
        <f>MAX(0,L29+M28-M26)</f>
        <v/>
      </c>
      <c r="N29" s="17">
        <f>MAX(0,M29+N28-N26)</f>
        <v/>
      </c>
      <c r="O29" s="17">
        <f>MAX(0,N29+O28-O26)</f>
        <v/>
      </c>
      <c r="P29" s="17">
        <f>MAX(0,O29+P28-P26)</f>
        <v/>
      </c>
      <c r="Q29" s="17">
        <f>MAX(0,P29+Q28-Q26)</f>
        <v/>
      </c>
      <c r="R29" s="17">
        <f>MAX(0,Q29+R28-R26)</f>
        <v/>
      </c>
      <c r="S29" s="17">
        <f>MAX(0,R29+S28-S26)</f>
        <v/>
      </c>
      <c r="T29" s="17">
        <f>MAX(0,S29+T28-T26)</f>
        <v/>
      </c>
      <c r="U29" s="17">
        <f>MAX(0,T29+U28-U26)</f>
        <v/>
      </c>
      <c r="V29" s="17">
        <f>MAX(0,U29+V28-V26)</f>
        <v/>
      </c>
      <c r="W29" s="17">
        <f>MAX(0,V29+W28-W26)</f>
        <v/>
      </c>
      <c r="X29" s="17">
        <f>MAX(0,W29+X28-X26)</f>
        <v/>
      </c>
      <c r="Y29" s="17">
        <f>MAX(0,X29+Y28-Y26)</f>
        <v/>
      </c>
      <c r="Z29" s="17">
        <f>MAX(0,Y29+Z28-Z26)</f>
        <v/>
      </c>
      <c r="AA29" s="17">
        <f>MAX(0,Z29+AA28-AA26)</f>
        <v/>
      </c>
      <c r="AB29" s="17">
        <f>MAX(0,AA29+AB28-AB26)</f>
        <v/>
      </c>
      <c r="AC29" s="17">
        <f>MAX(0,AB29+AC28-AC26)</f>
        <v/>
      </c>
      <c r="AD29" s="17">
        <f>MAX(0,AC29+AD28-AD26)</f>
        <v/>
      </c>
      <c r="AE29" s="17">
        <f>MAX(0,AD29+AE28-AE26)</f>
        <v/>
      </c>
      <c r="AF29" s="17">
        <f>MAX(0,AE29+AF28-AF26)</f>
        <v/>
      </c>
      <c r="AG29" s="17">
        <f>MAX(0,AF29+AG28-AG26)</f>
        <v/>
      </c>
      <c r="AH29" s="17">
        <f>MAX(0,AG29+AH28-AH26)</f>
        <v/>
      </c>
      <c r="AI29" s="17">
        <f>MAX(0,AH29+AI28-AI26)</f>
        <v/>
      </c>
      <c r="AJ29" s="17">
        <f>MAX(0,AI29+AJ28-AJ26)</f>
        <v/>
      </c>
      <c r="AK29" s="17">
        <f>MAX(0,AJ29+AK28-AK26)</f>
        <v/>
      </c>
    </row>
    <row r="30">
      <c r="A30" s="12" t="inlineStr">
        <is>
          <t>ARR (recognized × 12)</t>
        </is>
      </c>
      <c r="B30" s="27">
        <f>B24*12</f>
        <v/>
      </c>
      <c r="C30" s="27">
        <f>C24*12</f>
        <v/>
      </c>
      <c r="D30" s="27">
        <f>D24*12</f>
        <v/>
      </c>
      <c r="E30" s="27">
        <f>E24*12</f>
        <v/>
      </c>
      <c r="F30" s="27">
        <f>F24*12</f>
        <v/>
      </c>
      <c r="G30" s="27">
        <f>G24*12</f>
        <v/>
      </c>
      <c r="H30" s="27">
        <f>H24*12</f>
        <v/>
      </c>
      <c r="I30" s="27">
        <f>I24*12</f>
        <v/>
      </c>
      <c r="J30" s="27">
        <f>J24*12</f>
        <v/>
      </c>
      <c r="K30" s="27">
        <f>K24*12</f>
        <v/>
      </c>
      <c r="L30" s="27">
        <f>L24*12</f>
        <v/>
      </c>
      <c r="M30" s="27">
        <f>M24*12</f>
        <v/>
      </c>
      <c r="N30" s="27">
        <f>N24*12</f>
        <v/>
      </c>
      <c r="O30" s="27">
        <f>O24*12</f>
        <v/>
      </c>
      <c r="P30" s="27">
        <f>P24*12</f>
        <v/>
      </c>
      <c r="Q30" s="27">
        <f>Q24*12</f>
        <v/>
      </c>
      <c r="R30" s="27">
        <f>R24*12</f>
        <v/>
      </c>
      <c r="S30" s="27">
        <f>S24*12</f>
        <v/>
      </c>
      <c r="T30" s="27">
        <f>T24*12</f>
        <v/>
      </c>
      <c r="U30" s="27">
        <f>U24*12</f>
        <v/>
      </c>
      <c r="V30" s="27">
        <f>V24*12</f>
        <v/>
      </c>
      <c r="W30" s="27">
        <f>W24*12</f>
        <v/>
      </c>
      <c r="X30" s="27">
        <f>X24*12</f>
        <v/>
      </c>
      <c r="Y30" s="27">
        <f>Y24*12</f>
        <v/>
      </c>
      <c r="Z30" s="27">
        <f>Z24*12</f>
        <v/>
      </c>
      <c r="AA30" s="27">
        <f>AA24*12</f>
        <v/>
      </c>
      <c r="AB30" s="27">
        <f>AB24*12</f>
        <v/>
      </c>
      <c r="AC30" s="27">
        <f>AC24*12</f>
        <v/>
      </c>
      <c r="AD30" s="27">
        <f>AD24*12</f>
        <v/>
      </c>
      <c r="AE30" s="27">
        <f>AE24*12</f>
        <v/>
      </c>
      <c r="AF30" s="27">
        <f>AF24*12</f>
        <v/>
      </c>
      <c r="AG30" s="27">
        <f>AG24*12</f>
        <v/>
      </c>
      <c r="AH30" s="27">
        <f>AH24*12</f>
        <v/>
      </c>
      <c r="AI30" s="27">
        <f>AI24*12</f>
        <v/>
      </c>
      <c r="AJ30" s="27">
        <f>AJ24*12</f>
        <v/>
      </c>
      <c r="AK30" s="27">
        <f>AK24*12</f>
        <v/>
      </c>
    </row>
    <row r="31">
      <c r="A31" t="inlineStr">
        <is>
          <t>Blended ARPU (recognized)</t>
        </is>
      </c>
      <c r="B31" s="24">
        <f>IF(B23=0,0,B24/B23)</f>
        <v/>
      </c>
      <c r="C31" s="24">
        <f>IF(C23=0,0,C24/C23)</f>
        <v/>
      </c>
      <c r="D31" s="24">
        <f>IF(D23=0,0,D24/D23)</f>
        <v/>
      </c>
      <c r="E31" s="24">
        <f>IF(E23=0,0,E24/E23)</f>
        <v/>
      </c>
      <c r="F31" s="24">
        <f>IF(F23=0,0,F24/F23)</f>
        <v/>
      </c>
      <c r="G31" s="24">
        <f>IF(G23=0,0,G24/G23)</f>
        <v/>
      </c>
      <c r="H31" s="24">
        <f>IF(H23=0,0,H24/H23)</f>
        <v/>
      </c>
      <c r="I31" s="24">
        <f>IF(I23=0,0,I24/I23)</f>
        <v/>
      </c>
      <c r="J31" s="24">
        <f>IF(J23=0,0,J24/J23)</f>
        <v/>
      </c>
      <c r="K31" s="24">
        <f>IF(K23=0,0,K24/K23)</f>
        <v/>
      </c>
      <c r="L31" s="24">
        <f>IF(L23=0,0,L24/L23)</f>
        <v/>
      </c>
      <c r="M31" s="24">
        <f>IF(M23=0,0,M24/M23)</f>
        <v/>
      </c>
      <c r="N31" s="24">
        <f>IF(N23=0,0,N24/N23)</f>
        <v/>
      </c>
      <c r="O31" s="24">
        <f>IF(O23=0,0,O24/O23)</f>
        <v/>
      </c>
      <c r="P31" s="24">
        <f>IF(P23=0,0,P24/P23)</f>
        <v/>
      </c>
      <c r="Q31" s="24">
        <f>IF(Q23=0,0,Q24/Q23)</f>
        <v/>
      </c>
      <c r="R31" s="24">
        <f>IF(R23=0,0,R24/R23)</f>
        <v/>
      </c>
      <c r="S31" s="24">
        <f>IF(S23=0,0,S24/S23)</f>
        <v/>
      </c>
      <c r="T31" s="24">
        <f>IF(T23=0,0,T24/T23)</f>
        <v/>
      </c>
      <c r="U31" s="24">
        <f>IF(U23=0,0,U24/U23)</f>
        <v/>
      </c>
      <c r="V31" s="24">
        <f>IF(V23=0,0,V24/V23)</f>
        <v/>
      </c>
      <c r="W31" s="24">
        <f>IF(W23=0,0,W24/W23)</f>
        <v/>
      </c>
      <c r="X31" s="24">
        <f>IF(X23=0,0,X24/X23)</f>
        <v/>
      </c>
      <c r="Y31" s="24">
        <f>IF(Y23=0,0,Y24/Y23)</f>
        <v/>
      </c>
      <c r="Z31" s="24">
        <f>IF(Z23=0,0,Z24/Z23)</f>
        <v/>
      </c>
      <c r="AA31" s="24">
        <f>IF(AA23=0,0,AA24/AA23)</f>
        <v/>
      </c>
      <c r="AB31" s="24">
        <f>IF(AB23=0,0,AB24/AB23)</f>
        <v/>
      </c>
      <c r="AC31" s="24">
        <f>IF(AC23=0,0,AC24/AC23)</f>
        <v/>
      </c>
      <c r="AD31" s="24">
        <f>IF(AD23=0,0,AD24/AD23)</f>
        <v/>
      </c>
      <c r="AE31" s="24">
        <f>IF(AE23=0,0,AE24/AE23)</f>
        <v/>
      </c>
      <c r="AF31" s="24">
        <f>IF(AF23=0,0,AF24/AF23)</f>
        <v/>
      </c>
      <c r="AG31" s="24">
        <f>IF(AG23=0,0,AG24/AG23)</f>
        <v/>
      </c>
      <c r="AH31" s="24">
        <f>IF(AH23=0,0,AH24/AH23)</f>
        <v/>
      </c>
      <c r="AI31" s="24">
        <f>IF(AI23=0,0,AI24/AI23)</f>
        <v/>
      </c>
      <c r="AJ31" s="24">
        <f>IF(AJ23=0,0,AJ24/AJ23)</f>
        <v/>
      </c>
      <c r="AK31" s="24">
        <f>IF(AK23=0,0,AK24/AK23)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2"/>
  <sheetViews>
    <sheetView workbookViewId="0">
      <selection activeCell="A1" sqref="A1"/>
    </sheetView>
  </sheetViews>
  <sheetFormatPr baseColWidth="8" defaultRowHeight="15"/>
  <cols>
    <col width="46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Cost Schedule</t>
        </is>
      </c>
    </row>
    <row r="2">
      <c r="A2" s="8" t="inlineStr">
        <is>
          <t>COGS includes GPU inference + per-sub support; R&amp;D = GPU training; S&amp;M = marketing (from Rev Build ramp).</t>
        </is>
      </c>
    </row>
    <row r="4">
      <c r="A4" s="25" t="inlineStr">
        <is>
          <t>($ unless noted)</t>
        </is>
      </c>
      <c r="B4" s="26" t="inlineStr">
        <is>
          <t>M1 Aug-26</t>
        </is>
      </c>
      <c r="C4" s="26" t="inlineStr">
        <is>
          <t>M2 Sep-26</t>
        </is>
      </c>
      <c r="D4" s="26" t="inlineStr">
        <is>
          <t>M3 Oct-26</t>
        </is>
      </c>
      <c r="E4" s="26" t="inlineStr">
        <is>
          <t>M4 Nov-26</t>
        </is>
      </c>
      <c r="F4" s="26" t="inlineStr">
        <is>
          <t>M5 Dec-26</t>
        </is>
      </c>
      <c r="G4" s="26" t="inlineStr">
        <is>
          <t>M6 Jan-27</t>
        </is>
      </c>
      <c r="H4" s="26" t="inlineStr">
        <is>
          <t>M7 Feb-27</t>
        </is>
      </c>
      <c r="I4" s="26" t="inlineStr">
        <is>
          <t>M8 Mar-27</t>
        </is>
      </c>
      <c r="J4" s="26" t="inlineStr">
        <is>
          <t>M9 Apr-27</t>
        </is>
      </c>
      <c r="K4" s="26" t="inlineStr">
        <is>
          <t>M10 May-27</t>
        </is>
      </c>
      <c r="L4" s="26" t="inlineStr">
        <is>
          <t>M11 Jun-27</t>
        </is>
      </c>
      <c r="M4" s="26" t="inlineStr">
        <is>
          <t>M12 Jul-27</t>
        </is>
      </c>
      <c r="N4" s="26" t="inlineStr">
        <is>
          <t>M13 Aug-27</t>
        </is>
      </c>
      <c r="O4" s="26" t="inlineStr">
        <is>
          <t>M14 Sep-27</t>
        </is>
      </c>
      <c r="P4" s="26" t="inlineStr">
        <is>
          <t>M15 Oct-27</t>
        </is>
      </c>
      <c r="Q4" s="26" t="inlineStr">
        <is>
          <t>M16 Nov-27</t>
        </is>
      </c>
      <c r="R4" s="26" t="inlineStr">
        <is>
          <t>M17 Dec-27</t>
        </is>
      </c>
      <c r="S4" s="26" t="inlineStr">
        <is>
          <t>M18 Jan-28</t>
        </is>
      </c>
      <c r="T4" s="26" t="inlineStr">
        <is>
          <t>M19 Feb-28</t>
        </is>
      </c>
      <c r="U4" s="26" t="inlineStr">
        <is>
          <t>M20 Mar-28</t>
        </is>
      </c>
      <c r="V4" s="26" t="inlineStr">
        <is>
          <t>M21 Apr-28</t>
        </is>
      </c>
      <c r="W4" s="26" t="inlineStr">
        <is>
          <t>M22 May-28</t>
        </is>
      </c>
      <c r="X4" s="26" t="inlineStr">
        <is>
          <t>M23 Jun-28</t>
        </is>
      </c>
      <c r="Y4" s="26" t="inlineStr">
        <is>
          <t>M24 Jul-28</t>
        </is>
      </c>
      <c r="Z4" s="26" t="inlineStr">
        <is>
          <t>M25 Aug-28</t>
        </is>
      </c>
      <c r="AA4" s="26" t="inlineStr">
        <is>
          <t>M26 Sep-28</t>
        </is>
      </c>
      <c r="AB4" s="26" t="inlineStr">
        <is>
          <t>M27 Oct-28</t>
        </is>
      </c>
      <c r="AC4" s="26" t="inlineStr">
        <is>
          <t>M28 Nov-28</t>
        </is>
      </c>
      <c r="AD4" s="26" t="inlineStr">
        <is>
          <t>M29 Dec-28</t>
        </is>
      </c>
      <c r="AE4" s="26" t="inlineStr">
        <is>
          <t>M30 Jan-29</t>
        </is>
      </c>
      <c r="AF4" s="26" t="inlineStr">
        <is>
          <t>M31 Feb-29</t>
        </is>
      </c>
      <c r="AG4" s="26" t="inlineStr">
        <is>
          <t>M32 Mar-29</t>
        </is>
      </c>
      <c r="AH4" s="26" t="inlineStr">
        <is>
          <t>M33 Apr-29</t>
        </is>
      </c>
      <c r="AI4" s="26" t="inlineStr">
        <is>
          <t>M34 May-29</t>
        </is>
      </c>
      <c r="AJ4" s="26" t="inlineStr">
        <is>
          <t>M35 Jun-29</t>
        </is>
      </c>
      <c r="AK4" s="26" t="inlineStr">
        <is>
          <t>M36 Jul-29</t>
        </is>
      </c>
    </row>
    <row r="5">
      <c r="A5" s="9" t="inlineStr">
        <is>
          <t>COGS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>
      <c r="A6" t="inlineStr">
        <is>
          <t>Payment processing (Stripe, on billings)</t>
        </is>
      </c>
      <c r="B6" s="30">
        <f>'Rev Build'!B27*Drivers!$B$33+('Rev Build'!B16+'Rev Build'!B18+'Rev Build'!B20)*Drivers!$B$34</f>
        <v/>
      </c>
      <c r="C6" s="30">
        <f>'Rev Build'!C27*Drivers!$B$33+('Rev Build'!C16+'Rev Build'!C18+'Rev Build'!C20)*Drivers!$B$34</f>
        <v/>
      </c>
      <c r="D6" s="30">
        <f>'Rev Build'!D27*Drivers!$B$33+('Rev Build'!D16+'Rev Build'!D18+'Rev Build'!D20)*Drivers!$B$34</f>
        <v/>
      </c>
      <c r="E6" s="30">
        <f>'Rev Build'!E27*Drivers!$B$33+('Rev Build'!E16+'Rev Build'!E18+'Rev Build'!E20)*Drivers!$B$34</f>
        <v/>
      </c>
      <c r="F6" s="30">
        <f>'Rev Build'!F27*Drivers!$B$33+('Rev Build'!F16+'Rev Build'!F18+'Rev Build'!F20)*Drivers!$B$34</f>
        <v/>
      </c>
      <c r="G6" s="30">
        <f>'Rev Build'!G27*Drivers!$B$33+('Rev Build'!G16+'Rev Build'!G18+'Rev Build'!G20)*Drivers!$B$34</f>
        <v/>
      </c>
      <c r="H6" s="30">
        <f>'Rev Build'!H27*Drivers!$B$33+('Rev Build'!H16+'Rev Build'!H18+'Rev Build'!H20)*Drivers!$B$34</f>
        <v/>
      </c>
      <c r="I6" s="30">
        <f>'Rev Build'!I27*Drivers!$B$33+('Rev Build'!I16+'Rev Build'!I18+'Rev Build'!I20)*Drivers!$B$34</f>
        <v/>
      </c>
      <c r="J6" s="30">
        <f>'Rev Build'!J27*Drivers!$B$33+('Rev Build'!J16+'Rev Build'!J18+'Rev Build'!J20)*Drivers!$B$34</f>
        <v/>
      </c>
      <c r="K6" s="30">
        <f>'Rev Build'!K27*Drivers!$B$33+('Rev Build'!K16+'Rev Build'!K18+'Rev Build'!K20)*Drivers!$B$34</f>
        <v/>
      </c>
      <c r="L6" s="30">
        <f>'Rev Build'!L27*Drivers!$B$33+('Rev Build'!L16+'Rev Build'!L18+'Rev Build'!L20)*Drivers!$B$34</f>
        <v/>
      </c>
      <c r="M6" s="30">
        <f>'Rev Build'!M27*Drivers!$B$33+('Rev Build'!M16+'Rev Build'!M18+'Rev Build'!M20)*Drivers!$B$34</f>
        <v/>
      </c>
      <c r="N6" s="30">
        <f>'Rev Build'!N27*Drivers!$B$33+('Rev Build'!N16+'Rev Build'!N18+'Rev Build'!N20)*Drivers!$B$34</f>
        <v/>
      </c>
      <c r="O6" s="30">
        <f>'Rev Build'!O27*Drivers!$B$33+('Rev Build'!O16+'Rev Build'!O18+'Rev Build'!O20)*Drivers!$B$34</f>
        <v/>
      </c>
      <c r="P6" s="30">
        <f>'Rev Build'!P27*Drivers!$B$33+('Rev Build'!P16+'Rev Build'!P18+'Rev Build'!P20)*Drivers!$B$34</f>
        <v/>
      </c>
      <c r="Q6" s="30">
        <f>'Rev Build'!Q27*Drivers!$B$33+('Rev Build'!Q16+'Rev Build'!Q18+'Rev Build'!Q20)*Drivers!$B$34</f>
        <v/>
      </c>
      <c r="R6" s="30">
        <f>'Rev Build'!R27*Drivers!$B$33+('Rev Build'!R16+'Rev Build'!R18+'Rev Build'!R20)*Drivers!$B$34</f>
        <v/>
      </c>
      <c r="S6" s="30">
        <f>'Rev Build'!S27*Drivers!$B$33+('Rev Build'!S16+'Rev Build'!S18+'Rev Build'!S20)*Drivers!$B$34</f>
        <v/>
      </c>
      <c r="T6" s="30">
        <f>'Rev Build'!T27*Drivers!$B$33+('Rev Build'!T16+'Rev Build'!T18+'Rev Build'!T20)*Drivers!$B$34</f>
        <v/>
      </c>
      <c r="U6" s="30">
        <f>'Rev Build'!U27*Drivers!$B$33+('Rev Build'!U16+'Rev Build'!U18+'Rev Build'!U20)*Drivers!$B$34</f>
        <v/>
      </c>
      <c r="V6" s="30">
        <f>'Rev Build'!V27*Drivers!$B$33+('Rev Build'!V16+'Rev Build'!V18+'Rev Build'!V20)*Drivers!$B$34</f>
        <v/>
      </c>
      <c r="W6" s="30">
        <f>'Rev Build'!W27*Drivers!$B$33+('Rev Build'!W16+'Rev Build'!W18+'Rev Build'!W20)*Drivers!$B$34</f>
        <v/>
      </c>
      <c r="X6" s="30">
        <f>'Rev Build'!X27*Drivers!$B$33+('Rev Build'!X16+'Rev Build'!X18+'Rev Build'!X20)*Drivers!$B$34</f>
        <v/>
      </c>
      <c r="Y6" s="30">
        <f>'Rev Build'!Y27*Drivers!$B$33+('Rev Build'!Y16+'Rev Build'!Y18+'Rev Build'!Y20)*Drivers!$B$34</f>
        <v/>
      </c>
      <c r="Z6" s="30">
        <f>'Rev Build'!Z27*Drivers!$B$33+('Rev Build'!Z16+'Rev Build'!Z18+'Rev Build'!Z20)*Drivers!$B$34</f>
        <v/>
      </c>
      <c r="AA6" s="30">
        <f>'Rev Build'!AA27*Drivers!$B$33+('Rev Build'!AA16+'Rev Build'!AA18+'Rev Build'!AA20)*Drivers!$B$34</f>
        <v/>
      </c>
      <c r="AB6" s="30">
        <f>'Rev Build'!AB27*Drivers!$B$33+('Rev Build'!AB16+'Rev Build'!AB18+'Rev Build'!AB20)*Drivers!$B$34</f>
        <v/>
      </c>
      <c r="AC6" s="30">
        <f>'Rev Build'!AC27*Drivers!$B$33+('Rev Build'!AC16+'Rev Build'!AC18+'Rev Build'!AC20)*Drivers!$B$34</f>
        <v/>
      </c>
      <c r="AD6" s="30">
        <f>'Rev Build'!AD27*Drivers!$B$33+('Rev Build'!AD16+'Rev Build'!AD18+'Rev Build'!AD20)*Drivers!$B$34</f>
        <v/>
      </c>
      <c r="AE6" s="30">
        <f>'Rev Build'!AE27*Drivers!$B$33+('Rev Build'!AE16+'Rev Build'!AE18+'Rev Build'!AE20)*Drivers!$B$34</f>
        <v/>
      </c>
      <c r="AF6" s="30">
        <f>'Rev Build'!AF27*Drivers!$B$33+('Rev Build'!AF16+'Rev Build'!AF18+'Rev Build'!AF20)*Drivers!$B$34</f>
        <v/>
      </c>
      <c r="AG6" s="30">
        <f>'Rev Build'!AG27*Drivers!$B$33+('Rev Build'!AG16+'Rev Build'!AG18+'Rev Build'!AG20)*Drivers!$B$34</f>
        <v/>
      </c>
      <c r="AH6" s="30">
        <f>'Rev Build'!AH27*Drivers!$B$33+('Rev Build'!AH16+'Rev Build'!AH18+'Rev Build'!AH20)*Drivers!$B$34</f>
        <v/>
      </c>
      <c r="AI6" s="30">
        <f>'Rev Build'!AI27*Drivers!$B$33+('Rev Build'!AI16+'Rev Build'!AI18+'Rev Build'!AI20)*Drivers!$B$34</f>
        <v/>
      </c>
      <c r="AJ6" s="30">
        <f>'Rev Build'!AJ27*Drivers!$B$33+('Rev Build'!AJ16+'Rev Build'!AJ18+'Rev Build'!AJ20)*Drivers!$B$34</f>
        <v/>
      </c>
      <c r="AK6" s="30">
        <f>'Rev Build'!AK27*Drivers!$B$33+('Rev Build'!AK16+'Rev Build'!AK18+'Rev Build'!AK20)*Drivers!$B$34</f>
        <v/>
      </c>
    </row>
    <row r="7">
      <c r="A7" t="inlineStr">
        <is>
          <t>Serving infrastructure (AWS)</t>
        </is>
      </c>
      <c r="B7" s="27">
        <f>Drivers!$B$48+Drivers!$B$49+Drivers!$B$50+Drivers!$B$51</f>
        <v/>
      </c>
      <c r="C7" s="27">
        <f>Drivers!$B$48+Drivers!$B$49+Drivers!$B$50+Drivers!$B$51</f>
        <v/>
      </c>
      <c r="D7" s="27">
        <f>Drivers!$B$48+Drivers!$B$49+Drivers!$B$50+Drivers!$B$51</f>
        <v/>
      </c>
      <c r="E7" s="27">
        <f>Drivers!$B$48+Drivers!$B$49+Drivers!$B$50+Drivers!$B$51</f>
        <v/>
      </c>
      <c r="F7" s="27">
        <f>Drivers!$B$48+Drivers!$B$49+Drivers!$B$50+Drivers!$B$51</f>
        <v/>
      </c>
      <c r="G7" s="27">
        <f>Drivers!$B$48+Drivers!$B$49+Drivers!$B$50+Drivers!$B$51</f>
        <v/>
      </c>
      <c r="H7" s="27">
        <f>Drivers!$B$48+Drivers!$B$49+Drivers!$B$50+Drivers!$B$51</f>
        <v/>
      </c>
      <c r="I7" s="27">
        <f>Drivers!$B$48+Drivers!$B$49+Drivers!$B$50+Drivers!$B$51</f>
        <v/>
      </c>
      <c r="J7" s="27">
        <f>Drivers!$B$48+Drivers!$B$49+Drivers!$B$50+Drivers!$B$51</f>
        <v/>
      </c>
      <c r="K7" s="27">
        <f>Drivers!$B$48+Drivers!$B$49+Drivers!$B$50+Drivers!$B$51</f>
        <v/>
      </c>
      <c r="L7" s="27">
        <f>Drivers!$B$48+Drivers!$B$49+Drivers!$B$50+Drivers!$B$51</f>
        <v/>
      </c>
      <c r="M7" s="27">
        <f>Drivers!$B$48+Drivers!$B$49+Drivers!$B$50+Drivers!$B$51</f>
        <v/>
      </c>
      <c r="N7" s="27">
        <f>Drivers!$B$48+Drivers!$B$49+Drivers!$B$50+Drivers!$B$51</f>
        <v/>
      </c>
      <c r="O7" s="27">
        <f>Drivers!$B$48+Drivers!$B$49+Drivers!$B$50+Drivers!$B$51</f>
        <v/>
      </c>
      <c r="P7" s="27">
        <f>Drivers!$B$48+Drivers!$B$49+Drivers!$B$50+Drivers!$B$51</f>
        <v/>
      </c>
      <c r="Q7" s="27">
        <f>Drivers!$B$48+Drivers!$B$49+Drivers!$B$50+Drivers!$B$51</f>
        <v/>
      </c>
      <c r="R7" s="27">
        <f>Drivers!$B$48+Drivers!$B$49+Drivers!$B$50+Drivers!$B$51</f>
        <v/>
      </c>
      <c r="S7" s="27">
        <f>Drivers!$B$48+Drivers!$B$49+Drivers!$B$50+Drivers!$B$51</f>
        <v/>
      </c>
      <c r="T7" s="27">
        <f>Drivers!$B$48+Drivers!$B$49+Drivers!$B$50+Drivers!$B$51</f>
        <v/>
      </c>
      <c r="U7" s="27">
        <f>Drivers!$B$48+Drivers!$B$49+Drivers!$B$50+Drivers!$B$51</f>
        <v/>
      </c>
      <c r="V7" s="27">
        <f>Drivers!$B$48+Drivers!$B$49+Drivers!$B$50+Drivers!$B$51</f>
        <v/>
      </c>
      <c r="W7" s="27">
        <f>Drivers!$B$48+Drivers!$B$49+Drivers!$B$50+Drivers!$B$51</f>
        <v/>
      </c>
      <c r="X7" s="27">
        <f>Drivers!$B$48+Drivers!$B$49+Drivers!$B$50+Drivers!$B$51</f>
        <v/>
      </c>
      <c r="Y7" s="27">
        <f>Drivers!$B$48+Drivers!$B$49+Drivers!$B$50+Drivers!$B$51</f>
        <v/>
      </c>
      <c r="Z7" s="27">
        <f>Drivers!$B$48+Drivers!$B$49+Drivers!$B$50+Drivers!$B$51</f>
        <v/>
      </c>
      <c r="AA7" s="27">
        <f>Drivers!$B$48+Drivers!$B$49+Drivers!$B$50+Drivers!$B$51</f>
        <v/>
      </c>
      <c r="AB7" s="27">
        <f>Drivers!$B$48+Drivers!$B$49+Drivers!$B$50+Drivers!$B$51</f>
        <v/>
      </c>
      <c r="AC7" s="27">
        <f>Drivers!$B$48+Drivers!$B$49+Drivers!$B$50+Drivers!$B$51</f>
        <v/>
      </c>
      <c r="AD7" s="27">
        <f>Drivers!$B$48+Drivers!$B$49+Drivers!$B$50+Drivers!$B$51</f>
        <v/>
      </c>
      <c r="AE7" s="27">
        <f>Drivers!$B$48+Drivers!$B$49+Drivers!$B$50+Drivers!$B$51</f>
        <v/>
      </c>
      <c r="AF7" s="27">
        <f>Drivers!$B$48+Drivers!$B$49+Drivers!$B$50+Drivers!$B$51</f>
        <v/>
      </c>
      <c r="AG7" s="27">
        <f>Drivers!$B$48+Drivers!$B$49+Drivers!$B$50+Drivers!$B$51</f>
        <v/>
      </c>
      <c r="AH7" s="27">
        <f>Drivers!$B$48+Drivers!$B$49+Drivers!$B$50+Drivers!$B$51</f>
        <v/>
      </c>
      <c r="AI7" s="27">
        <f>Drivers!$B$48+Drivers!$B$49+Drivers!$B$50+Drivers!$B$51</f>
        <v/>
      </c>
      <c r="AJ7" s="27">
        <f>Drivers!$B$48+Drivers!$B$49+Drivers!$B$50+Drivers!$B$51</f>
        <v/>
      </c>
      <c r="AK7" s="27">
        <f>Drivers!$B$48+Drivers!$B$49+Drivers!$B$50+Drivers!$B$51</f>
        <v/>
      </c>
    </row>
    <row r="8">
      <c r="A8" t="inlineStr">
        <is>
          <t>GPU inference serving (from launch)</t>
        </is>
      </c>
      <c r="B8" s="27">
        <f>IF(1&gt;=Drivers!$B$7,Drivers!$B$46,0)</f>
        <v/>
      </c>
      <c r="C8" s="27">
        <f>IF(2&gt;=Drivers!$B$7,Drivers!$B$46,0)</f>
        <v/>
      </c>
      <c r="D8" s="27">
        <f>IF(3&gt;=Drivers!$B$7,Drivers!$B$46,0)</f>
        <v/>
      </c>
      <c r="E8" s="27">
        <f>IF(4&gt;=Drivers!$B$7,Drivers!$B$46,0)</f>
        <v/>
      </c>
      <c r="F8" s="27">
        <f>IF(5&gt;=Drivers!$B$7,Drivers!$B$46,0)</f>
        <v/>
      </c>
      <c r="G8" s="27">
        <f>IF(6&gt;=Drivers!$B$7,Drivers!$B$46,0)</f>
        <v/>
      </c>
      <c r="H8" s="27">
        <f>IF(7&gt;=Drivers!$B$7,Drivers!$B$46,0)</f>
        <v/>
      </c>
      <c r="I8" s="27">
        <f>IF(8&gt;=Drivers!$B$7,Drivers!$B$46,0)</f>
        <v/>
      </c>
      <c r="J8" s="27">
        <f>IF(9&gt;=Drivers!$B$7,Drivers!$B$46,0)</f>
        <v/>
      </c>
      <c r="K8" s="27">
        <f>IF(10&gt;=Drivers!$B$7,Drivers!$B$46,0)</f>
        <v/>
      </c>
      <c r="L8" s="27">
        <f>IF(11&gt;=Drivers!$B$7,Drivers!$B$46,0)</f>
        <v/>
      </c>
      <c r="M8" s="27">
        <f>IF(12&gt;=Drivers!$B$7,Drivers!$B$46,0)</f>
        <v/>
      </c>
      <c r="N8" s="27">
        <f>IF(13&gt;=Drivers!$B$7,Drivers!$B$46,0)</f>
        <v/>
      </c>
      <c r="O8" s="27">
        <f>IF(14&gt;=Drivers!$B$7,Drivers!$B$46,0)</f>
        <v/>
      </c>
      <c r="P8" s="27">
        <f>IF(15&gt;=Drivers!$B$7,Drivers!$B$46,0)</f>
        <v/>
      </c>
      <c r="Q8" s="27">
        <f>IF(16&gt;=Drivers!$B$7,Drivers!$B$46,0)</f>
        <v/>
      </c>
      <c r="R8" s="27">
        <f>IF(17&gt;=Drivers!$B$7,Drivers!$B$46,0)</f>
        <v/>
      </c>
      <c r="S8" s="27">
        <f>IF(18&gt;=Drivers!$B$7,Drivers!$B$46,0)</f>
        <v/>
      </c>
      <c r="T8" s="27">
        <f>IF(19&gt;=Drivers!$B$7,Drivers!$B$46,0)</f>
        <v/>
      </c>
      <c r="U8" s="27">
        <f>IF(20&gt;=Drivers!$B$7,Drivers!$B$46,0)</f>
        <v/>
      </c>
      <c r="V8" s="27">
        <f>IF(21&gt;=Drivers!$B$7,Drivers!$B$46,0)</f>
        <v/>
      </c>
      <c r="W8" s="27">
        <f>IF(22&gt;=Drivers!$B$7,Drivers!$B$46,0)</f>
        <v/>
      </c>
      <c r="X8" s="27">
        <f>IF(23&gt;=Drivers!$B$7,Drivers!$B$46,0)</f>
        <v/>
      </c>
      <c r="Y8" s="27">
        <f>IF(24&gt;=Drivers!$B$7,Drivers!$B$46,0)</f>
        <v/>
      </c>
      <c r="Z8" s="27">
        <f>IF(25&gt;=Drivers!$B$7,Drivers!$B$46,0)</f>
        <v/>
      </c>
      <c r="AA8" s="27">
        <f>IF(26&gt;=Drivers!$B$7,Drivers!$B$46,0)</f>
        <v/>
      </c>
      <c r="AB8" s="27">
        <f>IF(27&gt;=Drivers!$B$7,Drivers!$B$46,0)</f>
        <v/>
      </c>
      <c r="AC8" s="27">
        <f>IF(28&gt;=Drivers!$B$7,Drivers!$B$46,0)</f>
        <v/>
      </c>
      <c r="AD8" s="27">
        <f>IF(29&gt;=Drivers!$B$7,Drivers!$B$46,0)</f>
        <v/>
      </c>
      <c r="AE8" s="27">
        <f>IF(30&gt;=Drivers!$B$7,Drivers!$B$46,0)</f>
        <v/>
      </c>
      <c r="AF8" s="27">
        <f>IF(31&gt;=Drivers!$B$7,Drivers!$B$46,0)</f>
        <v/>
      </c>
      <c r="AG8" s="27">
        <f>IF(32&gt;=Drivers!$B$7,Drivers!$B$46,0)</f>
        <v/>
      </c>
      <c r="AH8" s="27">
        <f>IF(33&gt;=Drivers!$B$7,Drivers!$B$46,0)</f>
        <v/>
      </c>
      <c r="AI8" s="27">
        <f>IF(34&gt;=Drivers!$B$7,Drivers!$B$46,0)</f>
        <v/>
      </c>
      <c r="AJ8" s="27">
        <f>IF(35&gt;=Drivers!$B$7,Drivers!$B$46,0)</f>
        <v/>
      </c>
      <c r="AK8" s="27">
        <f>IF(36&gt;=Drivers!$B$7,Drivers!$B$46,0)</f>
        <v/>
      </c>
    </row>
    <row r="9">
      <c r="A9" t="inlineStr">
        <is>
          <t>Data APIs</t>
        </is>
      </c>
      <c r="B9" s="27">
        <f>Drivers!$B$52+Drivers!$B$53+Drivers!$B$54</f>
        <v/>
      </c>
      <c r="C9" s="27">
        <f>Drivers!$B$52+Drivers!$B$53+Drivers!$B$54</f>
        <v/>
      </c>
      <c r="D9" s="27">
        <f>Drivers!$B$52+Drivers!$B$53+Drivers!$B$54</f>
        <v/>
      </c>
      <c r="E9" s="27">
        <f>Drivers!$B$52+Drivers!$B$53+Drivers!$B$54</f>
        <v/>
      </c>
      <c r="F9" s="27">
        <f>Drivers!$B$52+Drivers!$B$53+Drivers!$B$54</f>
        <v/>
      </c>
      <c r="G9" s="27">
        <f>Drivers!$B$52+Drivers!$B$53+Drivers!$B$54</f>
        <v/>
      </c>
      <c r="H9" s="27">
        <f>Drivers!$B$52+Drivers!$B$53+Drivers!$B$54</f>
        <v/>
      </c>
      <c r="I9" s="27">
        <f>Drivers!$B$52+Drivers!$B$53+Drivers!$B$54</f>
        <v/>
      </c>
      <c r="J9" s="27">
        <f>Drivers!$B$52+Drivers!$B$53+Drivers!$B$54</f>
        <v/>
      </c>
      <c r="K9" s="27">
        <f>Drivers!$B$52+Drivers!$B$53+Drivers!$B$54</f>
        <v/>
      </c>
      <c r="L9" s="27">
        <f>Drivers!$B$52+Drivers!$B$53+Drivers!$B$54</f>
        <v/>
      </c>
      <c r="M9" s="27">
        <f>Drivers!$B$52+Drivers!$B$53+Drivers!$B$54</f>
        <v/>
      </c>
      <c r="N9" s="27">
        <f>Drivers!$B$52+Drivers!$B$53+Drivers!$B$54</f>
        <v/>
      </c>
      <c r="O9" s="27">
        <f>Drivers!$B$52+Drivers!$B$53+Drivers!$B$54</f>
        <v/>
      </c>
      <c r="P9" s="27">
        <f>Drivers!$B$52+Drivers!$B$53+Drivers!$B$54</f>
        <v/>
      </c>
      <c r="Q9" s="27">
        <f>Drivers!$B$52+Drivers!$B$53+Drivers!$B$54</f>
        <v/>
      </c>
      <c r="R9" s="27">
        <f>Drivers!$B$52+Drivers!$B$53+Drivers!$B$54</f>
        <v/>
      </c>
      <c r="S9" s="27">
        <f>Drivers!$B$52+Drivers!$B$53+Drivers!$B$54</f>
        <v/>
      </c>
      <c r="T9" s="27">
        <f>Drivers!$B$52+Drivers!$B$53+Drivers!$B$54</f>
        <v/>
      </c>
      <c r="U9" s="27">
        <f>Drivers!$B$52+Drivers!$B$53+Drivers!$B$54</f>
        <v/>
      </c>
      <c r="V9" s="27">
        <f>Drivers!$B$52+Drivers!$B$53+Drivers!$B$54</f>
        <v/>
      </c>
      <c r="W9" s="27">
        <f>Drivers!$B$52+Drivers!$B$53+Drivers!$B$54</f>
        <v/>
      </c>
      <c r="X9" s="27">
        <f>Drivers!$B$52+Drivers!$B$53+Drivers!$B$54</f>
        <v/>
      </c>
      <c r="Y9" s="27">
        <f>Drivers!$B$52+Drivers!$B$53+Drivers!$B$54</f>
        <v/>
      </c>
      <c r="Z9" s="27">
        <f>Drivers!$B$52+Drivers!$B$53+Drivers!$B$54</f>
        <v/>
      </c>
      <c r="AA9" s="27">
        <f>Drivers!$B$52+Drivers!$B$53+Drivers!$B$54</f>
        <v/>
      </c>
      <c r="AB9" s="27">
        <f>Drivers!$B$52+Drivers!$B$53+Drivers!$B$54</f>
        <v/>
      </c>
      <c r="AC9" s="27">
        <f>Drivers!$B$52+Drivers!$B$53+Drivers!$B$54</f>
        <v/>
      </c>
      <c r="AD9" s="27">
        <f>Drivers!$B$52+Drivers!$B$53+Drivers!$B$54</f>
        <v/>
      </c>
      <c r="AE9" s="27">
        <f>Drivers!$B$52+Drivers!$B$53+Drivers!$B$54</f>
        <v/>
      </c>
      <c r="AF9" s="27">
        <f>Drivers!$B$52+Drivers!$B$53+Drivers!$B$54</f>
        <v/>
      </c>
      <c r="AG9" s="27">
        <f>Drivers!$B$52+Drivers!$B$53+Drivers!$B$54</f>
        <v/>
      </c>
      <c r="AH9" s="27">
        <f>Drivers!$B$52+Drivers!$B$53+Drivers!$B$54</f>
        <v/>
      </c>
      <c r="AI9" s="27">
        <f>Drivers!$B$52+Drivers!$B$53+Drivers!$B$54</f>
        <v/>
      </c>
      <c r="AJ9" s="27">
        <f>Drivers!$B$52+Drivers!$B$53+Drivers!$B$54</f>
        <v/>
      </c>
      <c r="AK9" s="27">
        <f>Drivers!$B$52+Drivers!$B$53+Drivers!$B$54</f>
        <v/>
      </c>
    </row>
    <row r="10">
      <c r="A10" t="inlineStr">
        <is>
          <t>Support &amp; tooling (per sub)</t>
        </is>
      </c>
      <c r="B10" s="30">
        <f>'Rev Build'!B23*Drivers!$B$55</f>
        <v/>
      </c>
      <c r="C10" s="30">
        <f>'Rev Build'!C23*Drivers!$B$55</f>
        <v/>
      </c>
      <c r="D10" s="30">
        <f>'Rev Build'!D23*Drivers!$B$55</f>
        <v/>
      </c>
      <c r="E10" s="30">
        <f>'Rev Build'!E23*Drivers!$B$55</f>
        <v/>
      </c>
      <c r="F10" s="30">
        <f>'Rev Build'!F23*Drivers!$B$55</f>
        <v/>
      </c>
      <c r="G10" s="30">
        <f>'Rev Build'!G23*Drivers!$B$55</f>
        <v/>
      </c>
      <c r="H10" s="30">
        <f>'Rev Build'!H23*Drivers!$B$55</f>
        <v/>
      </c>
      <c r="I10" s="30">
        <f>'Rev Build'!I23*Drivers!$B$55</f>
        <v/>
      </c>
      <c r="J10" s="30">
        <f>'Rev Build'!J23*Drivers!$B$55</f>
        <v/>
      </c>
      <c r="K10" s="30">
        <f>'Rev Build'!K23*Drivers!$B$55</f>
        <v/>
      </c>
      <c r="L10" s="30">
        <f>'Rev Build'!L23*Drivers!$B$55</f>
        <v/>
      </c>
      <c r="M10" s="30">
        <f>'Rev Build'!M23*Drivers!$B$55</f>
        <v/>
      </c>
      <c r="N10" s="30">
        <f>'Rev Build'!N23*Drivers!$B$55</f>
        <v/>
      </c>
      <c r="O10" s="30">
        <f>'Rev Build'!O23*Drivers!$B$55</f>
        <v/>
      </c>
      <c r="P10" s="30">
        <f>'Rev Build'!P23*Drivers!$B$55</f>
        <v/>
      </c>
      <c r="Q10" s="30">
        <f>'Rev Build'!Q23*Drivers!$B$55</f>
        <v/>
      </c>
      <c r="R10" s="30">
        <f>'Rev Build'!R23*Drivers!$B$55</f>
        <v/>
      </c>
      <c r="S10" s="30">
        <f>'Rev Build'!S23*Drivers!$B$55</f>
        <v/>
      </c>
      <c r="T10" s="30">
        <f>'Rev Build'!T23*Drivers!$B$55</f>
        <v/>
      </c>
      <c r="U10" s="30">
        <f>'Rev Build'!U23*Drivers!$B$55</f>
        <v/>
      </c>
      <c r="V10" s="30">
        <f>'Rev Build'!V23*Drivers!$B$55</f>
        <v/>
      </c>
      <c r="W10" s="30">
        <f>'Rev Build'!W23*Drivers!$B$55</f>
        <v/>
      </c>
      <c r="X10" s="30">
        <f>'Rev Build'!X23*Drivers!$B$55</f>
        <v/>
      </c>
      <c r="Y10" s="30">
        <f>'Rev Build'!Y23*Drivers!$B$55</f>
        <v/>
      </c>
      <c r="Z10" s="30">
        <f>'Rev Build'!Z23*Drivers!$B$55</f>
        <v/>
      </c>
      <c r="AA10" s="30">
        <f>'Rev Build'!AA23*Drivers!$B$55</f>
        <v/>
      </c>
      <c r="AB10" s="30">
        <f>'Rev Build'!AB23*Drivers!$B$55</f>
        <v/>
      </c>
      <c r="AC10" s="30">
        <f>'Rev Build'!AC23*Drivers!$B$55</f>
        <v/>
      </c>
      <c r="AD10" s="30">
        <f>'Rev Build'!AD23*Drivers!$B$55</f>
        <v/>
      </c>
      <c r="AE10" s="30">
        <f>'Rev Build'!AE23*Drivers!$B$55</f>
        <v/>
      </c>
      <c r="AF10" s="30">
        <f>'Rev Build'!AF23*Drivers!$B$55</f>
        <v/>
      </c>
      <c r="AG10" s="30">
        <f>'Rev Build'!AG23*Drivers!$B$55</f>
        <v/>
      </c>
      <c r="AH10" s="30">
        <f>'Rev Build'!AH23*Drivers!$B$55</f>
        <v/>
      </c>
      <c r="AI10" s="30">
        <f>'Rev Build'!AI23*Drivers!$B$55</f>
        <v/>
      </c>
      <c r="AJ10" s="30">
        <f>'Rev Build'!AJ23*Drivers!$B$55</f>
        <v/>
      </c>
      <c r="AK10" s="30">
        <f>'Rev Build'!AK23*Drivers!$B$55</f>
        <v/>
      </c>
    </row>
    <row r="11">
      <c r="A11" s="28" t="inlineStr">
        <is>
          <t>Total COGS</t>
        </is>
      </c>
      <c r="B11" s="29">
        <f>SUM(B6:B10)</f>
        <v/>
      </c>
      <c r="C11" s="29">
        <f>SUM(C6:C10)</f>
        <v/>
      </c>
      <c r="D11" s="29">
        <f>SUM(D6:D10)</f>
        <v/>
      </c>
      <c r="E11" s="29">
        <f>SUM(E6:E10)</f>
        <v/>
      </c>
      <c r="F11" s="29">
        <f>SUM(F6:F10)</f>
        <v/>
      </c>
      <c r="G11" s="29">
        <f>SUM(G6:G10)</f>
        <v/>
      </c>
      <c r="H11" s="29">
        <f>SUM(H6:H10)</f>
        <v/>
      </c>
      <c r="I11" s="29">
        <f>SUM(I6:I10)</f>
        <v/>
      </c>
      <c r="J11" s="29">
        <f>SUM(J6:J10)</f>
        <v/>
      </c>
      <c r="K11" s="29">
        <f>SUM(K6:K10)</f>
        <v/>
      </c>
      <c r="L11" s="29">
        <f>SUM(L6:L10)</f>
        <v/>
      </c>
      <c r="M11" s="29">
        <f>SUM(M6:M10)</f>
        <v/>
      </c>
      <c r="N11" s="29">
        <f>SUM(N6:N10)</f>
        <v/>
      </c>
      <c r="O11" s="29">
        <f>SUM(O6:O10)</f>
        <v/>
      </c>
      <c r="P11" s="29">
        <f>SUM(P6:P10)</f>
        <v/>
      </c>
      <c r="Q11" s="29">
        <f>SUM(Q6:Q10)</f>
        <v/>
      </c>
      <c r="R11" s="29">
        <f>SUM(R6:R10)</f>
        <v/>
      </c>
      <c r="S11" s="29">
        <f>SUM(S6:S10)</f>
        <v/>
      </c>
      <c r="T11" s="29">
        <f>SUM(T6:T10)</f>
        <v/>
      </c>
      <c r="U11" s="29">
        <f>SUM(U6:U10)</f>
        <v/>
      </c>
      <c r="V11" s="29">
        <f>SUM(V6:V10)</f>
        <v/>
      </c>
      <c r="W11" s="29">
        <f>SUM(W6:W10)</f>
        <v/>
      </c>
      <c r="X11" s="29">
        <f>SUM(X6:X10)</f>
        <v/>
      </c>
      <c r="Y11" s="29">
        <f>SUM(Y6:Y10)</f>
        <v/>
      </c>
      <c r="Z11" s="29">
        <f>SUM(Z6:Z10)</f>
        <v/>
      </c>
      <c r="AA11" s="29">
        <f>SUM(AA6:AA10)</f>
        <v/>
      </c>
      <c r="AB11" s="29">
        <f>SUM(AB6:AB10)</f>
        <v/>
      </c>
      <c r="AC11" s="29">
        <f>SUM(AC6:AC10)</f>
        <v/>
      </c>
      <c r="AD11" s="29">
        <f>SUM(AD6:AD10)</f>
        <v/>
      </c>
      <c r="AE11" s="29">
        <f>SUM(AE6:AE10)</f>
        <v/>
      </c>
      <c r="AF11" s="29">
        <f>SUM(AF6:AF10)</f>
        <v/>
      </c>
      <c r="AG11" s="29">
        <f>SUM(AG6:AG10)</f>
        <v/>
      </c>
      <c r="AH11" s="29">
        <f>SUM(AH6:AH10)</f>
        <v/>
      </c>
      <c r="AI11" s="29">
        <f>SUM(AI6:AI10)</f>
        <v/>
      </c>
      <c r="AJ11" s="29">
        <f>SUM(AJ6:AJ10)</f>
        <v/>
      </c>
      <c r="AK11" s="29">
        <f>SUM(AK6:AK10)</f>
        <v/>
      </c>
    </row>
    <row r="12">
      <c r="A12" s="9" t="inlineStr">
        <is>
          <t>R&amp;D — MODEL TRAINING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</row>
    <row r="13">
      <c r="A13" t="inlineStr">
        <is>
          <t>Single-GPU fine-tune (g6e.xlarge)</t>
        </is>
      </c>
      <c r="B13" s="27">
        <f>Drivers!$B$36*Drivers!$B$37</f>
        <v/>
      </c>
      <c r="C13" s="27">
        <f>Drivers!$B$36*Drivers!$B$37</f>
        <v/>
      </c>
      <c r="D13" s="27">
        <f>Drivers!$B$36*Drivers!$B$37</f>
        <v/>
      </c>
      <c r="E13" s="27">
        <f>Drivers!$B$36*Drivers!$B$37</f>
        <v/>
      </c>
      <c r="F13" s="27">
        <f>Drivers!$B$36*Drivers!$B$37</f>
        <v/>
      </c>
      <c r="G13" s="27">
        <f>Drivers!$B$36*Drivers!$B$37</f>
        <v/>
      </c>
      <c r="H13" s="27">
        <f>Drivers!$B$36*Drivers!$B$37</f>
        <v/>
      </c>
      <c r="I13" s="27">
        <f>Drivers!$B$36*Drivers!$B$37</f>
        <v/>
      </c>
      <c r="J13" s="27">
        <f>Drivers!$B$36*Drivers!$B$37</f>
        <v/>
      </c>
      <c r="K13" s="27">
        <f>Drivers!$B$36*Drivers!$B$37</f>
        <v/>
      </c>
      <c r="L13" s="27">
        <f>Drivers!$B$36*Drivers!$B$37</f>
        <v/>
      </c>
      <c r="M13" s="27">
        <f>Drivers!$B$36*Drivers!$B$37</f>
        <v/>
      </c>
      <c r="N13" s="27">
        <f>Drivers!$B$36*Drivers!$B$37</f>
        <v/>
      </c>
      <c r="O13" s="27">
        <f>Drivers!$B$36*Drivers!$B$37</f>
        <v/>
      </c>
      <c r="P13" s="27">
        <f>Drivers!$B$36*Drivers!$B$37</f>
        <v/>
      </c>
      <c r="Q13" s="27">
        <f>Drivers!$B$36*Drivers!$B$37</f>
        <v/>
      </c>
      <c r="R13" s="27">
        <f>Drivers!$B$36*Drivers!$B$37</f>
        <v/>
      </c>
      <c r="S13" s="27">
        <f>Drivers!$B$36*Drivers!$B$37</f>
        <v/>
      </c>
      <c r="T13" s="27">
        <f>Drivers!$B$36*Drivers!$B$37</f>
        <v/>
      </c>
      <c r="U13" s="27">
        <f>Drivers!$B$36*Drivers!$B$37</f>
        <v/>
      </c>
      <c r="V13" s="27">
        <f>Drivers!$B$36*Drivers!$B$37</f>
        <v/>
      </c>
      <c r="W13" s="27">
        <f>Drivers!$B$36*Drivers!$B$37</f>
        <v/>
      </c>
      <c r="X13" s="27">
        <f>Drivers!$B$36*Drivers!$B$37</f>
        <v/>
      </c>
      <c r="Y13" s="27">
        <f>Drivers!$B$36*Drivers!$B$37</f>
        <v/>
      </c>
      <c r="Z13" s="27">
        <f>Drivers!$B$36*Drivers!$B$37</f>
        <v/>
      </c>
      <c r="AA13" s="27">
        <f>Drivers!$B$36*Drivers!$B$37</f>
        <v/>
      </c>
      <c r="AB13" s="27">
        <f>Drivers!$B$36*Drivers!$B$37</f>
        <v/>
      </c>
      <c r="AC13" s="27">
        <f>Drivers!$B$36*Drivers!$B$37</f>
        <v/>
      </c>
      <c r="AD13" s="27">
        <f>Drivers!$B$36*Drivers!$B$37</f>
        <v/>
      </c>
      <c r="AE13" s="27">
        <f>Drivers!$B$36*Drivers!$B$37</f>
        <v/>
      </c>
      <c r="AF13" s="27">
        <f>Drivers!$B$36*Drivers!$B$37</f>
        <v/>
      </c>
      <c r="AG13" s="27">
        <f>Drivers!$B$36*Drivers!$B$37</f>
        <v/>
      </c>
      <c r="AH13" s="27">
        <f>Drivers!$B$36*Drivers!$B$37</f>
        <v/>
      </c>
      <c r="AI13" s="27">
        <f>Drivers!$B$36*Drivers!$B$37</f>
        <v/>
      </c>
      <c r="AJ13" s="27">
        <f>Drivers!$B$36*Drivers!$B$37</f>
        <v/>
      </c>
      <c r="AK13" s="27">
        <f>Drivers!$B$36*Drivers!$B$37</f>
        <v/>
      </c>
    </row>
    <row r="14">
      <c r="A14" t="inlineStr">
        <is>
          <t>Multi-GPU runs (g6e.12xlarge)</t>
        </is>
      </c>
      <c r="B14" s="27">
        <f>Drivers!$B$38*Drivers!$B$39</f>
        <v/>
      </c>
      <c r="C14" s="27">
        <f>Drivers!$B$38*Drivers!$B$39</f>
        <v/>
      </c>
      <c r="D14" s="27">
        <f>Drivers!$B$38*Drivers!$B$39</f>
        <v/>
      </c>
      <c r="E14" s="27">
        <f>Drivers!$B$38*Drivers!$B$39</f>
        <v/>
      </c>
      <c r="F14" s="27">
        <f>Drivers!$B$38*Drivers!$B$39</f>
        <v/>
      </c>
      <c r="G14" s="27">
        <f>Drivers!$B$38*Drivers!$B$39</f>
        <v/>
      </c>
      <c r="H14" s="27">
        <f>Drivers!$B$38*Drivers!$B$39</f>
        <v/>
      </c>
      <c r="I14" s="27">
        <f>Drivers!$B$38*Drivers!$B$39</f>
        <v/>
      </c>
      <c r="J14" s="27">
        <f>Drivers!$B$38*Drivers!$B$39</f>
        <v/>
      </c>
      <c r="K14" s="27">
        <f>Drivers!$B$38*Drivers!$B$39</f>
        <v/>
      </c>
      <c r="L14" s="27">
        <f>Drivers!$B$38*Drivers!$B$39</f>
        <v/>
      </c>
      <c r="M14" s="27">
        <f>Drivers!$B$38*Drivers!$B$39</f>
        <v/>
      </c>
      <c r="N14" s="27">
        <f>Drivers!$B$38*Drivers!$B$39</f>
        <v/>
      </c>
      <c r="O14" s="27">
        <f>Drivers!$B$38*Drivers!$B$39</f>
        <v/>
      </c>
      <c r="P14" s="27">
        <f>Drivers!$B$38*Drivers!$B$39</f>
        <v/>
      </c>
      <c r="Q14" s="27">
        <f>Drivers!$B$38*Drivers!$B$39</f>
        <v/>
      </c>
      <c r="R14" s="27">
        <f>Drivers!$B$38*Drivers!$B$39</f>
        <v/>
      </c>
      <c r="S14" s="27">
        <f>Drivers!$B$38*Drivers!$B$39</f>
        <v/>
      </c>
      <c r="T14" s="27">
        <f>Drivers!$B$38*Drivers!$B$39</f>
        <v/>
      </c>
      <c r="U14" s="27">
        <f>Drivers!$B$38*Drivers!$B$39</f>
        <v/>
      </c>
      <c r="V14" s="27">
        <f>Drivers!$B$38*Drivers!$B$39</f>
        <v/>
      </c>
      <c r="W14" s="27">
        <f>Drivers!$B$38*Drivers!$B$39</f>
        <v/>
      </c>
      <c r="X14" s="27">
        <f>Drivers!$B$38*Drivers!$B$39</f>
        <v/>
      </c>
      <c r="Y14" s="27">
        <f>Drivers!$B$38*Drivers!$B$39</f>
        <v/>
      </c>
      <c r="Z14" s="27">
        <f>Drivers!$B$38*Drivers!$B$39</f>
        <v/>
      </c>
      <c r="AA14" s="27">
        <f>Drivers!$B$38*Drivers!$B$39</f>
        <v/>
      </c>
      <c r="AB14" s="27">
        <f>Drivers!$B$38*Drivers!$B$39</f>
        <v/>
      </c>
      <c r="AC14" s="27">
        <f>Drivers!$B$38*Drivers!$B$39</f>
        <v/>
      </c>
      <c r="AD14" s="27">
        <f>Drivers!$B$38*Drivers!$B$39</f>
        <v/>
      </c>
      <c r="AE14" s="27">
        <f>Drivers!$B$38*Drivers!$B$39</f>
        <v/>
      </c>
      <c r="AF14" s="27">
        <f>Drivers!$B$38*Drivers!$B$39</f>
        <v/>
      </c>
      <c r="AG14" s="27">
        <f>Drivers!$B$38*Drivers!$B$39</f>
        <v/>
      </c>
      <c r="AH14" s="27">
        <f>Drivers!$B$38*Drivers!$B$39</f>
        <v/>
      </c>
      <c r="AI14" s="27">
        <f>Drivers!$B$38*Drivers!$B$39</f>
        <v/>
      </c>
      <c r="AJ14" s="27">
        <f>Drivers!$B$38*Drivers!$B$39</f>
        <v/>
      </c>
      <c r="AK14" s="27">
        <f>Drivers!$B$38*Drivers!$B$39</f>
        <v/>
      </c>
    </row>
    <row r="15">
      <c r="A15" t="inlineStr">
        <is>
          <t>H100 Capacity Blocks (Scale plan)</t>
        </is>
      </c>
      <c r="B15" s="27">
        <f>IF(Drivers!$B$6=2,Drivers!$B$40*Drivers!$B$41,0)</f>
        <v/>
      </c>
      <c r="C15" s="27">
        <f>IF(Drivers!$B$6=2,Drivers!$B$40*Drivers!$B$41,0)</f>
        <v/>
      </c>
      <c r="D15" s="27">
        <f>IF(Drivers!$B$6=2,Drivers!$B$40*Drivers!$B$41,0)</f>
        <v/>
      </c>
      <c r="E15" s="27">
        <f>IF(Drivers!$B$6=2,Drivers!$B$40*Drivers!$B$41,0)</f>
        <v/>
      </c>
      <c r="F15" s="27">
        <f>IF(Drivers!$B$6=2,Drivers!$B$40*Drivers!$B$41,0)</f>
        <v/>
      </c>
      <c r="G15" s="27">
        <f>IF(Drivers!$B$6=2,Drivers!$B$40*Drivers!$B$41,0)</f>
        <v/>
      </c>
      <c r="H15" s="27">
        <f>IF(Drivers!$B$6=2,Drivers!$B$40*Drivers!$B$41,0)</f>
        <v/>
      </c>
      <c r="I15" s="27">
        <f>IF(Drivers!$B$6=2,Drivers!$B$40*Drivers!$B$41,0)</f>
        <v/>
      </c>
      <c r="J15" s="27">
        <f>IF(Drivers!$B$6=2,Drivers!$B$40*Drivers!$B$41,0)</f>
        <v/>
      </c>
      <c r="K15" s="27">
        <f>IF(Drivers!$B$6=2,Drivers!$B$40*Drivers!$B$41,0)</f>
        <v/>
      </c>
      <c r="L15" s="27">
        <f>IF(Drivers!$B$6=2,Drivers!$B$40*Drivers!$B$41,0)</f>
        <v/>
      </c>
      <c r="M15" s="27">
        <f>IF(Drivers!$B$6=2,Drivers!$B$40*Drivers!$B$41,0)</f>
        <v/>
      </c>
      <c r="N15" s="27">
        <f>IF(Drivers!$B$6=2,Drivers!$B$40*Drivers!$B$41,0)</f>
        <v/>
      </c>
      <c r="O15" s="27">
        <f>IF(Drivers!$B$6=2,Drivers!$B$40*Drivers!$B$41,0)</f>
        <v/>
      </c>
      <c r="P15" s="27">
        <f>IF(Drivers!$B$6=2,Drivers!$B$40*Drivers!$B$41,0)</f>
        <v/>
      </c>
      <c r="Q15" s="27">
        <f>IF(Drivers!$B$6=2,Drivers!$B$40*Drivers!$B$41,0)</f>
        <v/>
      </c>
      <c r="R15" s="27">
        <f>IF(Drivers!$B$6=2,Drivers!$B$40*Drivers!$B$41,0)</f>
        <v/>
      </c>
      <c r="S15" s="27">
        <f>IF(Drivers!$B$6=2,Drivers!$B$40*Drivers!$B$41,0)</f>
        <v/>
      </c>
      <c r="T15" s="27">
        <f>IF(Drivers!$B$6=2,Drivers!$B$40*Drivers!$B$41,0)</f>
        <v/>
      </c>
      <c r="U15" s="27">
        <f>IF(Drivers!$B$6=2,Drivers!$B$40*Drivers!$B$41,0)</f>
        <v/>
      </c>
      <c r="V15" s="27">
        <f>IF(Drivers!$B$6=2,Drivers!$B$40*Drivers!$B$41,0)</f>
        <v/>
      </c>
      <c r="W15" s="27">
        <f>IF(Drivers!$B$6=2,Drivers!$B$40*Drivers!$B$41,0)</f>
        <v/>
      </c>
      <c r="X15" s="27">
        <f>IF(Drivers!$B$6=2,Drivers!$B$40*Drivers!$B$41,0)</f>
        <v/>
      </c>
      <c r="Y15" s="27">
        <f>IF(Drivers!$B$6=2,Drivers!$B$40*Drivers!$B$41,0)</f>
        <v/>
      </c>
      <c r="Z15" s="27">
        <f>IF(Drivers!$B$6=2,Drivers!$B$40*Drivers!$B$41,0)</f>
        <v/>
      </c>
      <c r="AA15" s="27">
        <f>IF(Drivers!$B$6=2,Drivers!$B$40*Drivers!$B$41,0)</f>
        <v/>
      </c>
      <c r="AB15" s="27">
        <f>IF(Drivers!$B$6=2,Drivers!$B$40*Drivers!$B$41,0)</f>
        <v/>
      </c>
      <c r="AC15" s="27">
        <f>IF(Drivers!$B$6=2,Drivers!$B$40*Drivers!$B$41,0)</f>
        <v/>
      </c>
      <c r="AD15" s="27">
        <f>IF(Drivers!$B$6=2,Drivers!$B$40*Drivers!$B$41,0)</f>
        <v/>
      </c>
      <c r="AE15" s="27">
        <f>IF(Drivers!$B$6=2,Drivers!$B$40*Drivers!$B$41,0)</f>
        <v/>
      </c>
      <c r="AF15" s="27">
        <f>IF(Drivers!$B$6=2,Drivers!$B$40*Drivers!$B$41,0)</f>
        <v/>
      </c>
      <c r="AG15" s="27">
        <f>IF(Drivers!$B$6=2,Drivers!$B$40*Drivers!$B$41,0)</f>
        <v/>
      </c>
      <c r="AH15" s="27">
        <f>IF(Drivers!$B$6=2,Drivers!$B$40*Drivers!$B$41,0)</f>
        <v/>
      </c>
      <c r="AI15" s="27">
        <f>IF(Drivers!$B$6=2,Drivers!$B$40*Drivers!$B$41,0)</f>
        <v/>
      </c>
      <c r="AJ15" s="27">
        <f>IF(Drivers!$B$6=2,Drivers!$B$40*Drivers!$B$41,0)</f>
        <v/>
      </c>
      <c r="AK15" s="27">
        <f>IF(Drivers!$B$6=2,Drivers!$B$40*Drivers!$B$41,0)</f>
        <v/>
      </c>
    </row>
    <row r="16">
      <c r="A16" t="inlineStr">
        <is>
          <t>A100 spot (Scale plan)</t>
        </is>
      </c>
      <c r="B16" s="27">
        <f>IF(Drivers!$B$6=2,Drivers!$B$42*Drivers!$B$43,0)</f>
        <v/>
      </c>
      <c r="C16" s="27">
        <f>IF(Drivers!$B$6=2,Drivers!$B$42*Drivers!$B$43,0)</f>
        <v/>
      </c>
      <c r="D16" s="27">
        <f>IF(Drivers!$B$6=2,Drivers!$B$42*Drivers!$B$43,0)</f>
        <v/>
      </c>
      <c r="E16" s="27">
        <f>IF(Drivers!$B$6=2,Drivers!$B$42*Drivers!$B$43,0)</f>
        <v/>
      </c>
      <c r="F16" s="27">
        <f>IF(Drivers!$B$6=2,Drivers!$B$42*Drivers!$B$43,0)</f>
        <v/>
      </c>
      <c r="G16" s="27">
        <f>IF(Drivers!$B$6=2,Drivers!$B$42*Drivers!$B$43,0)</f>
        <v/>
      </c>
      <c r="H16" s="27">
        <f>IF(Drivers!$B$6=2,Drivers!$B$42*Drivers!$B$43,0)</f>
        <v/>
      </c>
      <c r="I16" s="27">
        <f>IF(Drivers!$B$6=2,Drivers!$B$42*Drivers!$B$43,0)</f>
        <v/>
      </c>
      <c r="J16" s="27">
        <f>IF(Drivers!$B$6=2,Drivers!$B$42*Drivers!$B$43,0)</f>
        <v/>
      </c>
      <c r="K16" s="27">
        <f>IF(Drivers!$B$6=2,Drivers!$B$42*Drivers!$B$43,0)</f>
        <v/>
      </c>
      <c r="L16" s="27">
        <f>IF(Drivers!$B$6=2,Drivers!$B$42*Drivers!$B$43,0)</f>
        <v/>
      </c>
      <c r="M16" s="27">
        <f>IF(Drivers!$B$6=2,Drivers!$B$42*Drivers!$B$43,0)</f>
        <v/>
      </c>
      <c r="N16" s="27">
        <f>IF(Drivers!$B$6=2,Drivers!$B$42*Drivers!$B$43,0)</f>
        <v/>
      </c>
      <c r="O16" s="27">
        <f>IF(Drivers!$B$6=2,Drivers!$B$42*Drivers!$B$43,0)</f>
        <v/>
      </c>
      <c r="P16" s="27">
        <f>IF(Drivers!$B$6=2,Drivers!$B$42*Drivers!$B$43,0)</f>
        <v/>
      </c>
      <c r="Q16" s="27">
        <f>IF(Drivers!$B$6=2,Drivers!$B$42*Drivers!$B$43,0)</f>
        <v/>
      </c>
      <c r="R16" s="27">
        <f>IF(Drivers!$B$6=2,Drivers!$B$42*Drivers!$B$43,0)</f>
        <v/>
      </c>
      <c r="S16" s="27">
        <f>IF(Drivers!$B$6=2,Drivers!$B$42*Drivers!$B$43,0)</f>
        <v/>
      </c>
      <c r="T16" s="27">
        <f>IF(Drivers!$B$6=2,Drivers!$B$42*Drivers!$B$43,0)</f>
        <v/>
      </c>
      <c r="U16" s="27">
        <f>IF(Drivers!$B$6=2,Drivers!$B$42*Drivers!$B$43,0)</f>
        <v/>
      </c>
      <c r="V16" s="27">
        <f>IF(Drivers!$B$6=2,Drivers!$B$42*Drivers!$B$43,0)</f>
        <v/>
      </c>
      <c r="W16" s="27">
        <f>IF(Drivers!$B$6=2,Drivers!$B$42*Drivers!$B$43,0)</f>
        <v/>
      </c>
      <c r="X16" s="27">
        <f>IF(Drivers!$B$6=2,Drivers!$B$42*Drivers!$B$43,0)</f>
        <v/>
      </c>
      <c r="Y16" s="27">
        <f>IF(Drivers!$B$6=2,Drivers!$B$42*Drivers!$B$43,0)</f>
        <v/>
      </c>
      <c r="Z16" s="27">
        <f>IF(Drivers!$B$6=2,Drivers!$B$42*Drivers!$B$43,0)</f>
        <v/>
      </c>
      <c r="AA16" s="27">
        <f>IF(Drivers!$B$6=2,Drivers!$B$42*Drivers!$B$43,0)</f>
        <v/>
      </c>
      <c r="AB16" s="27">
        <f>IF(Drivers!$B$6=2,Drivers!$B$42*Drivers!$B$43,0)</f>
        <v/>
      </c>
      <c r="AC16" s="27">
        <f>IF(Drivers!$B$6=2,Drivers!$B$42*Drivers!$B$43,0)</f>
        <v/>
      </c>
      <c r="AD16" s="27">
        <f>IF(Drivers!$B$6=2,Drivers!$B$42*Drivers!$B$43,0)</f>
        <v/>
      </c>
      <c r="AE16" s="27">
        <f>IF(Drivers!$B$6=2,Drivers!$B$42*Drivers!$B$43,0)</f>
        <v/>
      </c>
      <c r="AF16" s="27">
        <f>IF(Drivers!$B$6=2,Drivers!$B$42*Drivers!$B$43,0)</f>
        <v/>
      </c>
      <c r="AG16" s="27">
        <f>IF(Drivers!$B$6=2,Drivers!$B$42*Drivers!$B$43,0)</f>
        <v/>
      </c>
      <c r="AH16" s="27">
        <f>IF(Drivers!$B$6=2,Drivers!$B$42*Drivers!$B$43,0)</f>
        <v/>
      </c>
      <c r="AI16" s="27">
        <f>IF(Drivers!$B$6=2,Drivers!$B$42*Drivers!$B$43,0)</f>
        <v/>
      </c>
      <c r="AJ16" s="27">
        <f>IF(Drivers!$B$6=2,Drivers!$B$42*Drivers!$B$43,0)</f>
        <v/>
      </c>
      <c r="AK16" s="27">
        <f>IF(Drivers!$B$6=2,Drivers!$B$42*Drivers!$B$43,0)</f>
        <v/>
      </c>
    </row>
    <row r="17">
      <c r="A17" t="inlineStr">
        <is>
          <t>Training storage &amp; transfer</t>
        </is>
      </c>
      <c r="B17" s="27">
        <f>IF(Drivers!$B$6=2,Drivers!$B$45,Drivers!$B$44)</f>
        <v/>
      </c>
      <c r="C17" s="27">
        <f>IF(Drivers!$B$6=2,Drivers!$B$45,Drivers!$B$44)</f>
        <v/>
      </c>
      <c r="D17" s="27">
        <f>IF(Drivers!$B$6=2,Drivers!$B$45,Drivers!$B$44)</f>
        <v/>
      </c>
      <c r="E17" s="27">
        <f>IF(Drivers!$B$6=2,Drivers!$B$45,Drivers!$B$44)</f>
        <v/>
      </c>
      <c r="F17" s="27">
        <f>IF(Drivers!$B$6=2,Drivers!$B$45,Drivers!$B$44)</f>
        <v/>
      </c>
      <c r="G17" s="27">
        <f>IF(Drivers!$B$6=2,Drivers!$B$45,Drivers!$B$44)</f>
        <v/>
      </c>
      <c r="H17" s="27">
        <f>IF(Drivers!$B$6=2,Drivers!$B$45,Drivers!$B$44)</f>
        <v/>
      </c>
      <c r="I17" s="27">
        <f>IF(Drivers!$B$6=2,Drivers!$B$45,Drivers!$B$44)</f>
        <v/>
      </c>
      <c r="J17" s="27">
        <f>IF(Drivers!$B$6=2,Drivers!$B$45,Drivers!$B$44)</f>
        <v/>
      </c>
      <c r="K17" s="27">
        <f>IF(Drivers!$B$6=2,Drivers!$B$45,Drivers!$B$44)</f>
        <v/>
      </c>
      <c r="L17" s="27">
        <f>IF(Drivers!$B$6=2,Drivers!$B$45,Drivers!$B$44)</f>
        <v/>
      </c>
      <c r="M17" s="27">
        <f>IF(Drivers!$B$6=2,Drivers!$B$45,Drivers!$B$44)</f>
        <v/>
      </c>
      <c r="N17" s="27">
        <f>IF(Drivers!$B$6=2,Drivers!$B$45,Drivers!$B$44)</f>
        <v/>
      </c>
      <c r="O17" s="27">
        <f>IF(Drivers!$B$6=2,Drivers!$B$45,Drivers!$B$44)</f>
        <v/>
      </c>
      <c r="P17" s="27">
        <f>IF(Drivers!$B$6=2,Drivers!$B$45,Drivers!$B$44)</f>
        <v/>
      </c>
      <c r="Q17" s="27">
        <f>IF(Drivers!$B$6=2,Drivers!$B$45,Drivers!$B$44)</f>
        <v/>
      </c>
      <c r="R17" s="27">
        <f>IF(Drivers!$B$6=2,Drivers!$B$45,Drivers!$B$44)</f>
        <v/>
      </c>
      <c r="S17" s="27">
        <f>IF(Drivers!$B$6=2,Drivers!$B$45,Drivers!$B$44)</f>
        <v/>
      </c>
      <c r="T17" s="27">
        <f>IF(Drivers!$B$6=2,Drivers!$B$45,Drivers!$B$44)</f>
        <v/>
      </c>
      <c r="U17" s="27">
        <f>IF(Drivers!$B$6=2,Drivers!$B$45,Drivers!$B$44)</f>
        <v/>
      </c>
      <c r="V17" s="27">
        <f>IF(Drivers!$B$6=2,Drivers!$B$45,Drivers!$B$44)</f>
        <v/>
      </c>
      <c r="W17" s="27">
        <f>IF(Drivers!$B$6=2,Drivers!$B$45,Drivers!$B$44)</f>
        <v/>
      </c>
      <c r="X17" s="27">
        <f>IF(Drivers!$B$6=2,Drivers!$B$45,Drivers!$B$44)</f>
        <v/>
      </c>
      <c r="Y17" s="27">
        <f>IF(Drivers!$B$6=2,Drivers!$B$45,Drivers!$B$44)</f>
        <v/>
      </c>
      <c r="Z17" s="27">
        <f>IF(Drivers!$B$6=2,Drivers!$B$45,Drivers!$B$44)</f>
        <v/>
      </c>
      <c r="AA17" s="27">
        <f>IF(Drivers!$B$6=2,Drivers!$B$45,Drivers!$B$44)</f>
        <v/>
      </c>
      <c r="AB17" s="27">
        <f>IF(Drivers!$B$6=2,Drivers!$B$45,Drivers!$B$44)</f>
        <v/>
      </c>
      <c r="AC17" s="27">
        <f>IF(Drivers!$B$6=2,Drivers!$B$45,Drivers!$B$44)</f>
        <v/>
      </c>
      <c r="AD17" s="27">
        <f>IF(Drivers!$B$6=2,Drivers!$B$45,Drivers!$B$44)</f>
        <v/>
      </c>
      <c r="AE17" s="27">
        <f>IF(Drivers!$B$6=2,Drivers!$B$45,Drivers!$B$44)</f>
        <v/>
      </c>
      <c r="AF17" s="27">
        <f>IF(Drivers!$B$6=2,Drivers!$B$45,Drivers!$B$44)</f>
        <v/>
      </c>
      <c r="AG17" s="27">
        <f>IF(Drivers!$B$6=2,Drivers!$B$45,Drivers!$B$44)</f>
        <v/>
      </c>
      <c r="AH17" s="27">
        <f>IF(Drivers!$B$6=2,Drivers!$B$45,Drivers!$B$44)</f>
        <v/>
      </c>
      <c r="AI17" s="27">
        <f>IF(Drivers!$B$6=2,Drivers!$B$45,Drivers!$B$44)</f>
        <v/>
      </c>
      <c r="AJ17" s="27">
        <f>IF(Drivers!$B$6=2,Drivers!$B$45,Drivers!$B$44)</f>
        <v/>
      </c>
      <c r="AK17" s="27">
        <f>IF(Drivers!$B$6=2,Drivers!$B$45,Drivers!$B$44)</f>
        <v/>
      </c>
    </row>
    <row r="18">
      <c r="A18" t="inlineStr">
        <is>
          <t>ML contractor (Scale plan)</t>
        </is>
      </c>
      <c r="B18" s="27">
        <f>IF(Drivers!$B$6=2,Drivers!$B$59,0)</f>
        <v/>
      </c>
      <c r="C18" s="27">
        <f>IF(Drivers!$B$6=2,Drivers!$B$59,0)</f>
        <v/>
      </c>
      <c r="D18" s="27">
        <f>IF(Drivers!$B$6=2,Drivers!$B$59,0)</f>
        <v/>
      </c>
      <c r="E18" s="27">
        <f>IF(Drivers!$B$6=2,Drivers!$B$59,0)</f>
        <v/>
      </c>
      <c r="F18" s="27">
        <f>IF(Drivers!$B$6=2,Drivers!$B$59,0)</f>
        <v/>
      </c>
      <c r="G18" s="27">
        <f>IF(Drivers!$B$6=2,Drivers!$B$59,0)</f>
        <v/>
      </c>
      <c r="H18" s="27">
        <f>IF(Drivers!$B$6=2,Drivers!$B$59,0)</f>
        <v/>
      </c>
      <c r="I18" s="27">
        <f>IF(Drivers!$B$6=2,Drivers!$B$59,0)</f>
        <v/>
      </c>
      <c r="J18" s="27">
        <f>IF(Drivers!$B$6=2,Drivers!$B$59,0)</f>
        <v/>
      </c>
      <c r="K18" s="27">
        <f>IF(Drivers!$B$6=2,Drivers!$B$59,0)</f>
        <v/>
      </c>
      <c r="L18" s="27">
        <f>IF(Drivers!$B$6=2,Drivers!$B$59,0)</f>
        <v/>
      </c>
      <c r="M18" s="27">
        <f>IF(Drivers!$B$6=2,Drivers!$B$59,0)</f>
        <v/>
      </c>
      <c r="N18" s="27">
        <f>IF(Drivers!$B$6=2,Drivers!$B$59,0)</f>
        <v/>
      </c>
      <c r="O18" s="27">
        <f>IF(Drivers!$B$6=2,Drivers!$B$59,0)</f>
        <v/>
      </c>
      <c r="P18" s="27">
        <f>IF(Drivers!$B$6=2,Drivers!$B$59,0)</f>
        <v/>
      </c>
      <c r="Q18" s="27">
        <f>IF(Drivers!$B$6=2,Drivers!$B$59,0)</f>
        <v/>
      </c>
      <c r="R18" s="27">
        <f>IF(Drivers!$B$6=2,Drivers!$B$59,0)</f>
        <v/>
      </c>
      <c r="S18" s="27">
        <f>IF(Drivers!$B$6=2,Drivers!$B$59,0)</f>
        <v/>
      </c>
      <c r="T18" s="27">
        <f>IF(Drivers!$B$6=2,Drivers!$B$59,0)</f>
        <v/>
      </c>
      <c r="U18" s="27">
        <f>IF(Drivers!$B$6=2,Drivers!$B$59,0)</f>
        <v/>
      </c>
      <c r="V18" s="27">
        <f>IF(Drivers!$B$6=2,Drivers!$B$59,0)</f>
        <v/>
      </c>
      <c r="W18" s="27">
        <f>IF(Drivers!$B$6=2,Drivers!$B$59,0)</f>
        <v/>
      </c>
      <c r="X18" s="27">
        <f>IF(Drivers!$B$6=2,Drivers!$B$59,0)</f>
        <v/>
      </c>
      <c r="Y18" s="27">
        <f>IF(Drivers!$B$6=2,Drivers!$B$59,0)</f>
        <v/>
      </c>
      <c r="Z18" s="27">
        <f>IF(Drivers!$B$6=2,Drivers!$B$59,0)</f>
        <v/>
      </c>
      <c r="AA18" s="27">
        <f>IF(Drivers!$B$6=2,Drivers!$B$59,0)</f>
        <v/>
      </c>
      <c r="AB18" s="27">
        <f>IF(Drivers!$B$6=2,Drivers!$B$59,0)</f>
        <v/>
      </c>
      <c r="AC18" s="27">
        <f>IF(Drivers!$B$6=2,Drivers!$B$59,0)</f>
        <v/>
      </c>
      <c r="AD18" s="27">
        <f>IF(Drivers!$B$6=2,Drivers!$B$59,0)</f>
        <v/>
      </c>
      <c r="AE18" s="27">
        <f>IF(Drivers!$B$6=2,Drivers!$B$59,0)</f>
        <v/>
      </c>
      <c r="AF18" s="27">
        <f>IF(Drivers!$B$6=2,Drivers!$B$59,0)</f>
        <v/>
      </c>
      <c r="AG18" s="27">
        <f>IF(Drivers!$B$6=2,Drivers!$B$59,0)</f>
        <v/>
      </c>
      <c r="AH18" s="27">
        <f>IF(Drivers!$B$6=2,Drivers!$B$59,0)</f>
        <v/>
      </c>
      <c r="AI18" s="27">
        <f>IF(Drivers!$B$6=2,Drivers!$B$59,0)</f>
        <v/>
      </c>
      <c r="AJ18" s="27">
        <f>IF(Drivers!$B$6=2,Drivers!$B$59,0)</f>
        <v/>
      </c>
      <c r="AK18" s="27">
        <f>IF(Drivers!$B$6=2,Drivers!$B$59,0)</f>
        <v/>
      </c>
    </row>
    <row r="19">
      <c r="A19" s="28" t="inlineStr">
        <is>
          <t>Total R&amp;D</t>
        </is>
      </c>
      <c r="B19" s="29">
        <f>SUM(B13:B18)</f>
        <v/>
      </c>
      <c r="C19" s="29">
        <f>SUM(C13:C18)</f>
        <v/>
      </c>
      <c r="D19" s="29">
        <f>SUM(D13:D18)</f>
        <v/>
      </c>
      <c r="E19" s="29">
        <f>SUM(E13:E18)</f>
        <v/>
      </c>
      <c r="F19" s="29">
        <f>SUM(F13:F18)</f>
        <v/>
      </c>
      <c r="G19" s="29">
        <f>SUM(G13:G18)</f>
        <v/>
      </c>
      <c r="H19" s="29">
        <f>SUM(H13:H18)</f>
        <v/>
      </c>
      <c r="I19" s="29">
        <f>SUM(I13:I18)</f>
        <v/>
      </c>
      <c r="J19" s="29">
        <f>SUM(J13:J18)</f>
        <v/>
      </c>
      <c r="K19" s="29">
        <f>SUM(K13:K18)</f>
        <v/>
      </c>
      <c r="L19" s="29">
        <f>SUM(L13:L18)</f>
        <v/>
      </c>
      <c r="M19" s="29">
        <f>SUM(M13:M18)</f>
        <v/>
      </c>
      <c r="N19" s="29">
        <f>SUM(N13:N18)</f>
        <v/>
      </c>
      <c r="O19" s="29">
        <f>SUM(O13:O18)</f>
        <v/>
      </c>
      <c r="P19" s="29">
        <f>SUM(P13:P18)</f>
        <v/>
      </c>
      <c r="Q19" s="29">
        <f>SUM(Q13:Q18)</f>
        <v/>
      </c>
      <c r="R19" s="29">
        <f>SUM(R13:R18)</f>
        <v/>
      </c>
      <c r="S19" s="29">
        <f>SUM(S13:S18)</f>
        <v/>
      </c>
      <c r="T19" s="29">
        <f>SUM(T13:T18)</f>
        <v/>
      </c>
      <c r="U19" s="29">
        <f>SUM(U13:U18)</f>
        <v/>
      </c>
      <c r="V19" s="29">
        <f>SUM(V13:V18)</f>
        <v/>
      </c>
      <c r="W19" s="29">
        <f>SUM(W13:W18)</f>
        <v/>
      </c>
      <c r="X19" s="29">
        <f>SUM(X13:X18)</f>
        <v/>
      </c>
      <c r="Y19" s="29">
        <f>SUM(Y13:Y18)</f>
        <v/>
      </c>
      <c r="Z19" s="29">
        <f>SUM(Z13:Z18)</f>
        <v/>
      </c>
      <c r="AA19" s="29">
        <f>SUM(AA13:AA18)</f>
        <v/>
      </c>
      <c r="AB19" s="29">
        <f>SUM(AB13:AB18)</f>
        <v/>
      </c>
      <c r="AC19" s="29">
        <f>SUM(AC13:AC18)</f>
        <v/>
      </c>
      <c r="AD19" s="29">
        <f>SUM(AD13:AD18)</f>
        <v/>
      </c>
      <c r="AE19" s="29">
        <f>SUM(AE13:AE18)</f>
        <v/>
      </c>
      <c r="AF19" s="29">
        <f>SUM(AF13:AF18)</f>
        <v/>
      </c>
      <c r="AG19" s="29">
        <f>SUM(AG13:AG18)</f>
        <v/>
      </c>
      <c r="AH19" s="29">
        <f>SUM(AH13:AH18)</f>
        <v/>
      </c>
      <c r="AI19" s="29">
        <f>SUM(AI13:AI18)</f>
        <v/>
      </c>
      <c r="AJ19" s="29">
        <f>SUM(AJ13:AJ18)</f>
        <v/>
      </c>
      <c r="AK19" s="29">
        <f>SUM(AK13:AK18)</f>
        <v/>
      </c>
    </row>
    <row r="20">
      <c r="A20" s="9" t="inlineStr">
        <is>
          <t>S&amp;M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</row>
    <row r="21">
      <c r="A21" t="inlineStr">
        <is>
          <t>Marketing (acquisition budget)</t>
        </is>
      </c>
      <c r="B21" s="30">
        <f>'Rev Build'!B8</f>
        <v/>
      </c>
      <c r="C21" s="30">
        <f>'Rev Build'!C8</f>
        <v/>
      </c>
      <c r="D21" s="30">
        <f>'Rev Build'!D8</f>
        <v/>
      </c>
      <c r="E21" s="30">
        <f>'Rev Build'!E8</f>
        <v/>
      </c>
      <c r="F21" s="30">
        <f>'Rev Build'!F8</f>
        <v/>
      </c>
      <c r="G21" s="30">
        <f>'Rev Build'!G8</f>
        <v/>
      </c>
      <c r="H21" s="30">
        <f>'Rev Build'!H8</f>
        <v/>
      </c>
      <c r="I21" s="30">
        <f>'Rev Build'!I8</f>
        <v/>
      </c>
      <c r="J21" s="30">
        <f>'Rev Build'!J8</f>
        <v/>
      </c>
      <c r="K21" s="30">
        <f>'Rev Build'!K8</f>
        <v/>
      </c>
      <c r="L21" s="30">
        <f>'Rev Build'!L8</f>
        <v/>
      </c>
      <c r="M21" s="30">
        <f>'Rev Build'!M8</f>
        <v/>
      </c>
      <c r="N21" s="30">
        <f>'Rev Build'!N8</f>
        <v/>
      </c>
      <c r="O21" s="30">
        <f>'Rev Build'!O8</f>
        <v/>
      </c>
      <c r="P21" s="30">
        <f>'Rev Build'!P8</f>
        <v/>
      </c>
      <c r="Q21" s="30">
        <f>'Rev Build'!Q8</f>
        <v/>
      </c>
      <c r="R21" s="30">
        <f>'Rev Build'!R8</f>
        <v/>
      </c>
      <c r="S21" s="30">
        <f>'Rev Build'!S8</f>
        <v/>
      </c>
      <c r="T21" s="30">
        <f>'Rev Build'!T8</f>
        <v/>
      </c>
      <c r="U21" s="30">
        <f>'Rev Build'!U8</f>
        <v/>
      </c>
      <c r="V21" s="30">
        <f>'Rev Build'!V8</f>
        <v/>
      </c>
      <c r="W21" s="30">
        <f>'Rev Build'!W8</f>
        <v/>
      </c>
      <c r="X21" s="30">
        <f>'Rev Build'!X8</f>
        <v/>
      </c>
      <c r="Y21" s="30">
        <f>'Rev Build'!Y8</f>
        <v/>
      </c>
      <c r="Z21" s="30">
        <f>'Rev Build'!Z8</f>
        <v/>
      </c>
      <c r="AA21" s="30">
        <f>'Rev Build'!AA8</f>
        <v/>
      </c>
      <c r="AB21" s="30">
        <f>'Rev Build'!AB8</f>
        <v/>
      </c>
      <c r="AC21" s="30">
        <f>'Rev Build'!AC8</f>
        <v/>
      </c>
      <c r="AD21" s="30">
        <f>'Rev Build'!AD8</f>
        <v/>
      </c>
      <c r="AE21" s="30">
        <f>'Rev Build'!AE8</f>
        <v/>
      </c>
      <c r="AF21" s="30">
        <f>'Rev Build'!AF8</f>
        <v/>
      </c>
      <c r="AG21" s="30">
        <f>'Rev Build'!AG8</f>
        <v/>
      </c>
      <c r="AH21" s="30">
        <f>'Rev Build'!AH8</f>
        <v/>
      </c>
      <c r="AI21" s="30">
        <f>'Rev Build'!AI8</f>
        <v/>
      </c>
      <c r="AJ21" s="30">
        <f>'Rev Build'!AJ8</f>
        <v/>
      </c>
      <c r="AK21" s="30">
        <f>'Rev Build'!AK8</f>
        <v/>
      </c>
    </row>
    <row r="22">
      <c r="A22" s="28" t="inlineStr">
        <is>
          <t>Total S&amp;M</t>
        </is>
      </c>
      <c r="B22" s="29">
        <f>B21</f>
        <v/>
      </c>
      <c r="C22" s="29">
        <f>C21</f>
        <v/>
      </c>
      <c r="D22" s="29">
        <f>D21</f>
        <v/>
      </c>
      <c r="E22" s="29">
        <f>E21</f>
        <v/>
      </c>
      <c r="F22" s="29">
        <f>F21</f>
        <v/>
      </c>
      <c r="G22" s="29">
        <f>G21</f>
        <v/>
      </c>
      <c r="H22" s="29">
        <f>H21</f>
        <v/>
      </c>
      <c r="I22" s="29">
        <f>I21</f>
        <v/>
      </c>
      <c r="J22" s="29">
        <f>J21</f>
        <v/>
      </c>
      <c r="K22" s="29">
        <f>K21</f>
        <v/>
      </c>
      <c r="L22" s="29">
        <f>L21</f>
        <v/>
      </c>
      <c r="M22" s="29">
        <f>M21</f>
        <v/>
      </c>
      <c r="N22" s="29">
        <f>N21</f>
        <v/>
      </c>
      <c r="O22" s="29">
        <f>O21</f>
        <v/>
      </c>
      <c r="P22" s="29">
        <f>P21</f>
        <v/>
      </c>
      <c r="Q22" s="29">
        <f>Q21</f>
        <v/>
      </c>
      <c r="R22" s="29">
        <f>R21</f>
        <v/>
      </c>
      <c r="S22" s="29">
        <f>S21</f>
        <v/>
      </c>
      <c r="T22" s="29">
        <f>T21</f>
        <v/>
      </c>
      <c r="U22" s="29">
        <f>U21</f>
        <v/>
      </c>
      <c r="V22" s="29">
        <f>V21</f>
        <v/>
      </c>
      <c r="W22" s="29">
        <f>W21</f>
        <v/>
      </c>
      <c r="X22" s="29">
        <f>X21</f>
        <v/>
      </c>
      <c r="Y22" s="29">
        <f>Y21</f>
        <v/>
      </c>
      <c r="Z22" s="29">
        <f>Z21</f>
        <v/>
      </c>
      <c r="AA22" s="29">
        <f>AA21</f>
        <v/>
      </c>
      <c r="AB22" s="29">
        <f>AB21</f>
        <v/>
      </c>
      <c r="AC22" s="29">
        <f>AC21</f>
        <v/>
      </c>
      <c r="AD22" s="29">
        <f>AD21</f>
        <v/>
      </c>
      <c r="AE22" s="29">
        <f>AE21</f>
        <v/>
      </c>
      <c r="AF22" s="29">
        <f>AF21</f>
        <v/>
      </c>
      <c r="AG22" s="29">
        <f>AG21</f>
        <v/>
      </c>
      <c r="AH22" s="29">
        <f>AH21</f>
        <v/>
      </c>
      <c r="AI22" s="29">
        <f>AI21</f>
        <v/>
      </c>
      <c r="AJ22" s="29">
        <f>AJ21</f>
        <v/>
      </c>
      <c r="AK22" s="29">
        <f>AK21</f>
        <v/>
      </c>
    </row>
    <row r="23">
      <c r="A23" s="9" t="inlineStr">
        <is>
          <t>G&amp;A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</row>
    <row r="24">
      <c r="A24" t="inlineStr">
        <is>
          <t>Founder salary + payroll tax</t>
        </is>
      </c>
      <c r="B24" s="27">
        <f>Drivers!$B$57/12*(1+Drivers!$B$58)</f>
        <v/>
      </c>
      <c r="C24" s="27">
        <f>Drivers!$B$57/12*(1+Drivers!$B$58)</f>
        <v/>
      </c>
      <c r="D24" s="27">
        <f>Drivers!$B$57/12*(1+Drivers!$B$58)</f>
        <v/>
      </c>
      <c r="E24" s="27">
        <f>Drivers!$B$57/12*(1+Drivers!$B$58)</f>
        <v/>
      </c>
      <c r="F24" s="27">
        <f>Drivers!$B$57/12*(1+Drivers!$B$58)</f>
        <v/>
      </c>
      <c r="G24" s="27">
        <f>Drivers!$B$57/12*(1+Drivers!$B$58)</f>
        <v/>
      </c>
      <c r="H24" s="27">
        <f>Drivers!$B$57/12*(1+Drivers!$B$58)</f>
        <v/>
      </c>
      <c r="I24" s="27">
        <f>Drivers!$B$57/12*(1+Drivers!$B$58)</f>
        <v/>
      </c>
      <c r="J24" s="27">
        <f>Drivers!$B$57/12*(1+Drivers!$B$58)</f>
        <v/>
      </c>
      <c r="K24" s="27">
        <f>Drivers!$B$57/12*(1+Drivers!$B$58)</f>
        <v/>
      </c>
      <c r="L24" s="27">
        <f>Drivers!$B$57/12*(1+Drivers!$B$58)</f>
        <v/>
      </c>
      <c r="M24" s="27">
        <f>Drivers!$B$57/12*(1+Drivers!$B$58)</f>
        <v/>
      </c>
      <c r="N24" s="27">
        <f>Drivers!$B$57/12*(1+Drivers!$B$58)</f>
        <v/>
      </c>
      <c r="O24" s="27">
        <f>Drivers!$B$57/12*(1+Drivers!$B$58)</f>
        <v/>
      </c>
      <c r="P24" s="27">
        <f>Drivers!$B$57/12*(1+Drivers!$B$58)</f>
        <v/>
      </c>
      <c r="Q24" s="27">
        <f>Drivers!$B$57/12*(1+Drivers!$B$58)</f>
        <v/>
      </c>
      <c r="R24" s="27">
        <f>Drivers!$B$57/12*(1+Drivers!$B$58)</f>
        <v/>
      </c>
      <c r="S24" s="27">
        <f>Drivers!$B$57/12*(1+Drivers!$B$58)</f>
        <v/>
      </c>
      <c r="T24" s="27">
        <f>Drivers!$B$57/12*(1+Drivers!$B$58)</f>
        <v/>
      </c>
      <c r="U24" s="27">
        <f>Drivers!$B$57/12*(1+Drivers!$B$58)</f>
        <v/>
      </c>
      <c r="V24" s="27">
        <f>Drivers!$B$57/12*(1+Drivers!$B$58)</f>
        <v/>
      </c>
      <c r="W24" s="27">
        <f>Drivers!$B$57/12*(1+Drivers!$B$58)</f>
        <v/>
      </c>
      <c r="X24" s="27">
        <f>Drivers!$B$57/12*(1+Drivers!$B$58)</f>
        <v/>
      </c>
      <c r="Y24" s="27">
        <f>Drivers!$B$57/12*(1+Drivers!$B$58)</f>
        <v/>
      </c>
      <c r="Z24" s="27">
        <f>Drivers!$B$57/12*(1+Drivers!$B$58)</f>
        <v/>
      </c>
      <c r="AA24" s="27">
        <f>Drivers!$B$57/12*(1+Drivers!$B$58)</f>
        <v/>
      </c>
      <c r="AB24" s="27">
        <f>Drivers!$B$57/12*(1+Drivers!$B$58)</f>
        <v/>
      </c>
      <c r="AC24" s="27">
        <f>Drivers!$B$57/12*(1+Drivers!$B$58)</f>
        <v/>
      </c>
      <c r="AD24" s="27">
        <f>Drivers!$B$57/12*(1+Drivers!$B$58)</f>
        <v/>
      </c>
      <c r="AE24" s="27">
        <f>Drivers!$B$57/12*(1+Drivers!$B$58)</f>
        <v/>
      </c>
      <c r="AF24" s="27">
        <f>Drivers!$B$57/12*(1+Drivers!$B$58)</f>
        <v/>
      </c>
      <c r="AG24" s="27">
        <f>Drivers!$B$57/12*(1+Drivers!$B$58)</f>
        <v/>
      </c>
      <c r="AH24" s="27">
        <f>Drivers!$B$57/12*(1+Drivers!$B$58)</f>
        <v/>
      </c>
      <c r="AI24" s="27">
        <f>Drivers!$B$57/12*(1+Drivers!$B$58)</f>
        <v/>
      </c>
      <c r="AJ24" s="27">
        <f>Drivers!$B$57/12*(1+Drivers!$B$58)</f>
        <v/>
      </c>
      <c r="AK24" s="27">
        <f>Drivers!$B$57/12*(1+Drivers!$B$58)</f>
        <v/>
      </c>
    </row>
    <row r="25">
      <c r="A25" t="inlineStr">
        <is>
          <t>Bookkeeping</t>
        </is>
      </c>
      <c r="B25" s="27">
        <f>Drivers!$B$60</f>
        <v/>
      </c>
      <c r="C25" s="27">
        <f>Drivers!$B$60</f>
        <v/>
      </c>
      <c r="D25" s="27">
        <f>Drivers!$B$60</f>
        <v/>
      </c>
      <c r="E25" s="27">
        <f>Drivers!$B$60</f>
        <v/>
      </c>
      <c r="F25" s="27">
        <f>Drivers!$B$60</f>
        <v/>
      </c>
      <c r="G25" s="27">
        <f>Drivers!$B$60</f>
        <v/>
      </c>
      <c r="H25" s="27">
        <f>Drivers!$B$60</f>
        <v/>
      </c>
      <c r="I25" s="27">
        <f>Drivers!$B$60</f>
        <v/>
      </c>
      <c r="J25" s="27">
        <f>Drivers!$B$60</f>
        <v/>
      </c>
      <c r="K25" s="27">
        <f>Drivers!$B$60</f>
        <v/>
      </c>
      <c r="L25" s="27">
        <f>Drivers!$B$60</f>
        <v/>
      </c>
      <c r="M25" s="27">
        <f>Drivers!$B$60</f>
        <v/>
      </c>
      <c r="N25" s="27">
        <f>Drivers!$B$60</f>
        <v/>
      </c>
      <c r="O25" s="27">
        <f>Drivers!$B$60</f>
        <v/>
      </c>
      <c r="P25" s="27">
        <f>Drivers!$B$60</f>
        <v/>
      </c>
      <c r="Q25" s="27">
        <f>Drivers!$B$60</f>
        <v/>
      </c>
      <c r="R25" s="27">
        <f>Drivers!$B$60</f>
        <v/>
      </c>
      <c r="S25" s="27">
        <f>Drivers!$B$60</f>
        <v/>
      </c>
      <c r="T25" s="27">
        <f>Drivers!$B$60</f>
        <v/>
      </c>
      <c r="U25" s="27">
        <f>Drivers!$B$60</f>
        <v/>
      </c>
      <c r="V25" s="27">
        <f>Drivers!$B$60</f>
        <v/>
      </c>
      <c r="W25" s="27">
        <f>Drivers!$B$60</f>
        <v/>
      </c>
      <c r="X25" s="27">
        <f>Drivers!$B$60</f>
        <v/>
      </c>
      <c r="Y25" s="27">
        <f>Drivers!$B$60</f>
        <v/>
      </c>
      <c r="Z25" s="27">
        <f>Drivers!$B$60</f>
        <v/>
      </c>
      <c r="AA25" s="27">
        <f>Drivers!$B$60</f>
        <v/>
      </c>
      <c r="AB25" s="27">
        <f>Drivers!$B$60</f>
        <v/>
      </c>
      <c r="AC25" s="27">
        <f>Drivers!$B$60</f>
        <v/>
      </c>
      <c r="AD25" s="27">
        <f>Drivers!$B$60</f>
        <v/>
      </c>
      <c r="AE25" s="27">
        <f>Drivers!$B$60</f>
        <v/>
      </c>
      <c r="AF25" s="27">
        <f>Drivers!$B$60</f>
        <v/>
      </c>
      <c r="AG25" s="27">
        <f>Drivers!$B$60</f>
        <v/>
      </c>
      <c r="AH25" s="27">
        <f>Drivers!$B$60</f>
        <v/>
      </c>
      <c r="AI25" s="27">
        <f>Drivers!$B$60</f>
        <v/>
      </c>
      <c r="AJ25" s="27">
        <f>Drivers!$B$60</f>
        <v/>
      </c>
      <c r="AK25" s="27">
        <f>Drivers!$B$60</f>
        <v/>
      </c>
    </row>
    <row r="26">
      <c r="A26" t="inlineStr">
        <is>
          <t>Insurance</t>
        </is>
      </c>
      <c r="B26" s="27">
        <f>Drivers!$B$61</f>
        <v/>
      </c>
      <c r="C26" s="27">
        <f>Drivers!$B$61</f>
        <v/>
      </c>
      <c r="D26" s="27">
        <f>Drivers!$B$61</f>
        <v/>
      </c>
      <c r="E26" s="27">
        <f>Drivers!$B$61</f>
        <v/>
      </c>
      <c r="F26" s="27">
        <f>Drivers!$B$61</f>
        <v/>
      </c>
      <c r="G26" s="27">
        <f>Drivers!$B$61</f>
        <v/>
      </c>
      <c r="H26" s="27">
        <f>Drivers!$B$61</f>
        <v/>
      </c>
      <c r="I26" s="27">
        <f>Drivers!$B$61</f>
        <v/>
      </c>
      <c r="J26" s="27">
        <f>Drivers!$B$61</f>
        <v/>
      </c>
      <c r="K26" s="27">
        <f>Drivers!$B$61</f>
        <v/>
      </c>
      <c r="L26" s="27">
        <f>Drivers!$B$61</f>
        <v/>
      </c>
      <c r="M26" s="27">
        <f>Drivers!$B$61</f>
        <v/>
      </c>
      <c r="N26" s="27">
        <f>Drivers!$B$61</f>
        <v/>
      </c>
      <c r="O26" s="27">
        <f>Drivers!$B$61</f>
        <v/>
      </c>
      <c r="P26" s="27">
        <f>Drivers!$B$61</f>
        <v/>
      </c>
      <c r="Q26" s="27">
        <f>Drivers!$B$61</f>
        <v/>
      </c>
      <c r="R26" s="27">
        <f>Drivers!$B$61</f>
        <v/>
      </c>
      <c r="S26" s="27">
        <f>Drivers!$B$61</f>
        <v/>
      </c>
      <c r="T26" s="27">
        <f>Drivers!$B$61</f>
        <v/>
      </c>
      <c r="U26" s="27">
        <f>Drivers!$B$61</f>
        <v/>
      </c>
      <c r="V26" s="27">
        <f>Drivers!$B$61</f>
        <v/>
      </c>
      <c r="W26" s="27">
        <f>Drivers!$B$61</f>
        <v/>
      </c>
      <c r="X26" s="27">
        <f>Drivers!$B$61</f>
        <v/>
      </c>
      <c r="Y26" s="27">
        <f>Drivers!$B$61</f>
        <v/>
      </c>
      <c r="Z26" s="27">
        <f>Drivers!$B$61</f>
        <v/>
      </c>
      <c r="AA26" s="27">
        <f>Drivers!$B$61</f>
        <v/>
      </c>
      <c r="AB26" s="27">
        <f>Drivers!$B$61</f>
        <v/>
      </c>
      <c r="AC26" s="27">
        <f>Drivers!$B$61</f>
        <v/>
      </c>
      <c r="AD26" s="27">
        <f>Drivers!$B$61</f>
        <v/>
      </c>
      <c r="AE26" s="27">
        <f>Drivers!$B$61</f>
        <v/>
      </c>
      <c r="AF26" s="27">
        <f>Drivers!$B$61</f>
        <v/>
      </c>
      <c r="AG26" s="27">
        <f>Drivers!$B$61</f>
        <v/>
      </c>
      <c r="AH26" s="27">
        <f>Drivers!$B$61</f>
        <v/>
      </c>
      <c r="AI26" s="27">
        <f>Drivers!$B$61</f>
        <v/>
      </c>
      <c r="AJ26" s="27">
        <f>Drivers!$B$61</f>
        <v/>
      </c>
      <c r="AK26" s="27">
        <f>Drivers!$B$61</f>
        <v/>
      </c>
    </row>
    <row r="27">
      <c r="A27" t="inlineStr">
        <is>
          <t>Compliance (amortized)</t>
        </is>
      </c>
      <c r="B27" s="27">
        <f>Drivers!$B$62</f>
        <v/>
      </c>
      <c r="C27" s="27">
        <f>Drivers!$B$62</f>
        <v/>
      </c>
      <c r="D27" s="27">
        <f>Drivers!$B$62</f>
        <v/>
      </c>
      <c r="E27" s="27">
        <f>Drivers!$B$62</f>
        <v/>
      </c>
      <c r="F27" s="27">
        <f>Drivers!$B$62</f>
        <v/>
      </c>
      <c r="G27" s="27">
        <f>Drivers!$B$62</f>
        <v/>
      </c>
      <c r="H27" s="27">
        <f>Drivers!$B$62</f>
        <v/>
      </c>
      <c r="I27" s="27">
        <f>Drivers!$B$62</f>
        <v/>
      </c>
      <c r="J27" s="27">
        <f>Drivers!$B$62</f>
        <v/>
      </c>
      <c r="K27" s="27">
        <f>Drivers!$B$62</f>
        <v/>
      </c>
      <c r="L27" s="27">
        <f>Drivers!$B$62</f>
        <v/>
      </c>
      <c r="M27" s="27">
        <f>Drivers!$B$62</f>
        <v/>
      </c>
      <c r="N27" s="27">
        <f>Drivers!$B$62</f>
        <v/>
      </c>
      <c r="O27" s="27">
        <f>Drivers!$B$62</f>
        <v/>
      </c>
      <c r="P27" s="27">
        <f>Drivers!$B$62</f>
        <v/>
      </c>
      <c r="Q27" s="27">
        <f>Drivers!$B$62</f>
        <v/>
      </c>
      <c r="R27" s="27">
        <f>Drivers!$B$62</f>
        <v/>
      </c>
      <c r="S27" s="27">
        <f>Drivers!$B$62</f>
        <v/>
      </c>
      <c r="T27" s="27">
        <f>Drivers!$B$62</f>
        <v/>
      </c>
      <c r="U27" s="27">
        <f>Drivers!$B$62</f>
        <v/>
      </c>
      <c r="V27" s="27">
        <f>Drivers!$B$62</f>
        <v/>
      </c>
      <c r="W27" s="27">
        <f>Drivers!$B$62</f>
        <v/>
      </c>
      <c r="X27" s="27">
        <f>Drivers!$B$62</f>
        <v/>
      </c>
      <c r="Y27" s="27">
        <f>Drivers!$B$62</f>
        <v/>
      </c>
      <c r="Z27" s="27">
        <f>Drivers!$B$62</f>
        <v/>
      </c>
      <c r="AA27" s="27">
        <f>Drivers!$B$62</f>
        <v/>
      </c>
      <c r="AB27" s="27">
        <f>Drivers!$B$62</f>
        <v/>
      </c>
      <c r="AC27" s="27">
        <f>Drivers!$B$62</f>
        <v/>
      </c>
      <c r="AD27" s="27">
        <f>Drivers!$B$62</f>
        <v/>
      </c>
      <c r="AE27" s="27">
        <f>Drivers!$B$62</f>
        <v/>
      </c>
      <c r="AF27" s="27">
        <f>Drivers!$B$62</f>
        <v/>
      </c>
      <c r="AG27" s="27">
        <f>Drivers!$B$62</f>
        <v/>
      </c>
      <c r="AH27" s="27">
        <f>Drivers!$B$62</f>
        <v/>
      </c>
      <c r="AI27" s="27">
        <f>Drivers!$B$62</f>
        <v/>
      </c>
      <c r="AJ27" s="27">
        <f>Drivers!$B$62</f>
        <v/>
      </c>
      <c r="AK27" s="27">
        <f>Drivers!$B$62</f>
        <v/>
      </c>
    </row>
    <row r="28">
      <c r="A28" t="inlineStr">
        <is>
          <t>SaaS &amp; tooling</t>
        </is>
      </c>
      <c r="B28" s="27">
        <f>Drivers!$B$63</f>
        <v/>
      </c>
      <c r="C28" s="27">
        <f>Drivers!$B$63</f>
        <v/>
      </c>
      <c r="D28" s="27">
        <f>Drivers!$B$63</f>
        <v/>
      </c>
      <c r="E28" s="27">
        <f>Drivers!$B$63</f>
        <v/>
      </c>
      <c r="F28" s="27">
        <f>Drivers!$B$63</f>
        <v/>
      </c>
      <c r="G28" s="27">
        <f>Drivers!$B$63</f>
        <v/>
      </c>
      <c r="H28" s="27">
        <f>Drivers!$B$63</f>
        <v/>
      </c>
      <c r="I28" s="27">
        <f>Drivers!$B$63</f>
        <v/>
      </c>
      <c r="J28" s="27">
        <f>Drivers!$B$63</f>
        <v/>
      </c>
      <c r="K28" s="27">
        <f>Drivers!$B$63</f>
        <v/>
      </c>
      <c r="L28" s="27">
        <f>Drivers!$B$63</f>
        <v/>
      </c>
      <c r="M28" s="27">
        <f>Drivers!$B$63</f>
        <v/>
      </c>
      <c r="N28" s="27">
        <f>Drivers!$B$63</f>
        <v/>
      </c>
      <c r="O28" s="27">
        <f>Drivers!$B$63</f>
        <v/>
      </c>
      <c r="P28" s="27">
        <f>Drivers!$B$63</f>
        <v/>
      </c>
      <c r="Q28" s="27">
        <f>Drivers!$B$63</f>
        <v/>
      </c>
      <c r="R28" s="27">
        <f>Drivers!$B$63</f>
        <v/>
      </c>
      <c r="S28" s="27">
        <f>Drivers!$B$63</f>
        <v/>
      </c>
      <c r="T28" s="27">
        <f>Drivers!$B$63</f>
        <v/>
      </c>
      <c r="U28" s="27">
        <f>Drivers!$B$63</f>
        <v/>
      </c>
      <c r="V28" s="27">
        <f>Drivers!$B$63</f>
        <v/>
      </c>
      <c r="W28" s="27">
        <f>Drivers!$B$63</f>
        <v/>
      </c>
      <c r="X28" s="27">
        <f>Drivers!$B$63</f>
        <v/>
      </c>
      <c r="Y28" s="27">
        <f>Drivers!$B$63</f>
        <v/>
      </c>
      <c r="Z28" s="27">
        <f>Drivers!$B$63</f>
        <v/>
      </c>
      <c r="AA28" s="27">
        <f>Drivers!$B$63</f>
        <v/>
      </c>
      <c r="AB28" s="27">
        <f>Drivers!$B$63</f>
        <v/>
      </c>
      <c r="AC28" s="27">
        <f>Drivers!$B$63</f>
        <v/>
      </c>
      <c r="AD28" s="27">
        <f>Drivers!$B$63</f>
        <v/>
      </c>
      <c r="AE28" s="27">
        <f>Drivers!$B$63</f>
        <v/>
      </c>
      <c r="AF28" s="27">
        <f>Drivers!$B$63</f>
        <v/>
      </c>
      <c r="AG28" s="27">
        <f>Drivers!$B$63</f>
        <v/>
      </c>
      <c r="AH28" s="27">
        <f>Drivers!$B$63</f>
        <v/>
      </c>
      <c r="AI28" s="27">
        <f>Drivers!$B$63</f>
        <v/>
      </c>
      <c r="AJ28" s="27">
        <f>Drivers!$B$63</f>
        <v/>
      </c>
      <c r="AK28" s="27">
        <f>Drivers!$B$63</f>
        <v/>
      </c>
    </row>
    <row r="29">
      <c r="A29" s="28" t="inlineStr">
        <is>
          <t>Total G&amp;A</t>
        </is>
      </c>
      <c r="B29" s="29">
        <f>SUM(B24:B28)</f>
        <v/>
      </c>
      <c r="C29" s="29">
        <f>SUM(C24:C28)</f>
        <v/>
      </c>
      <c r="D29" s="29">
        <f>SUM(D24:D28)</f>
        <v/>
      </c>
      <c r="E29" s="29">
        <f>SUM(E24:E28)</f>
        <v/>
      </c>
      <c r="F29" s="29">
        <f>SUM(F24:F28)</f>
        <v/>
      </c>
      <c r="G29" s="29">
        <f>SUM(G24:G28)</f>
        <v/>
      </c>
      <c r="H29" s="29">
        <f>SUM(H24:H28)</f>
        <v/>
      </c>
      <c r="I29" s="29">
        <f>SUM(I24:I28)</f>
        <v/>
      </c>
      <c r="J29" s="29">
        <f>SUM(J24:J28)</f>
        <v/>
      </c>
      <c r="K29" s="29">
        <f>SUM(K24:K28)</f>
        <v/>
      </c>
      <c r="L29" s="29">
        <f>SUM(L24:L28)</f>
        <v/>
      </c>
      <c r="M29" s="29">
        <f>SUM(M24:M28)</f>
        <v/>
      </c>
      <c r="N29" s="29">
        <f>SUM(N24:N28)</f>
        <v/>
      </c>
      <c r="O29" s="29">
        <f>SUM(O24:O28)</f>
        <v/>
      </c>
      <c r="P29" s="29">
        <f>SUM(P24:P28)</f>
        <v/>
      </c>
      <c r="Q29" s="29">
        <f>SUM(Q24:Q28)</f>
        <v/>
      </c>
      <c r="R29" s="29">
        <f>SUM(R24:R28)</f>
        <v/>
      </c>
      <c r="S29" s="29">
        <f>SUM(S24:S28)</f>
        <v/>
      </c>
      <c r="T29" s="29">
        <f>SUM(T24:T28)</f>
        <v/>
      </c>
      <c r="U29" s="29">
        <f>SUM(U24:U28)</f>
        <v/>
      </c>
      <c r="V29" s="29">
        <f>SUM(V24:V28)</f>
        <v/>
      </c>
      <c r="W29" s="29">
        <f>SUM(W24:W28)</f>
        <v/>
      </c>
      <c r="X29" s="29">
        <f>SUM(X24:X28)</f>
        <v/>
      </c>
      <c r="Y29" s="29">
        <f>SUM(Y24:Y28)</f>
        <v/>
      </c>
      <c r="Z29" s="29">
        <f>SUM(Z24:Z28)</f>
        <v/>
      </c>
      <c r="AA29" s="29">
        <f>SUM(AA24:AA28)</f>
        <v/>
      </c>
      <c r="AB29" s="29">
        <f>SUM(AB24:AB28)</f>
        <v/>
      </c>
      <c r="AC29" s="29">
        <f>SUM(AC24:AC28)</f>
        <v/>
      </c>
      <c r="AD29" s="29">
        <f>SUM(AD24:AD28)</f>
        <v/>
      </c>
      <c r="AE29" s="29">
        <f>SUM(AE24:AE28)</f>
        <v/>
      </c>
      <c r="AF29" s="29">
        <f>SUM(AF24:AF28)</f>
        <v/>
      </c>
      <c r="AG29" s="29">
        <f>SUM(AG24:AG28)</f>
        <v/>
      </c>
      <c r="AH29" s="29">
        <f>SUM(AH24:AH28)</f>
        <v/>
      </c>
      <c r="AI29" s="29">
        <f>SUM(AI24:AI28)</f>
        <v/>
      </c>
      <c r="AJ29" s="29">
        <f>SUM(AJ24:AJ28)</f>
        <v/>
      </c>
      <c r="AK29" s="29">
        <f>SUM(AK24:AK28)</f>
        <v/>
      </c>
    </row>
    <row r="30">
      <c r="A30" s="9" t="inlineStr">
        <is>
          <t>ONE-TIME (M1)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</row>
    <row r="31">
      <c r="A31" t="inlineStr">
        <is>
          <t>Formation, SAFE legal, regulatory memo</t>
        </is>
      </c>
      <c r="B31" s="27">
        <f>Drivers!$B$65+Drivers!$B$66+Drivers!$B$67</f>
        <v/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</row>
    <row r="32">
      <c r="A32" s="28" t="inlineStr">
        <is>
          <t>TOTAL OPERATING COSTS</t>
        </is>
      </c>
      <c r="B32" s="29">
        <f>B11+B19+B22+B29+B31</f>
        <v/>
      </c>
      <c r="C32" s="29">
        <f>C11+C19+C22+C29+C31</f>
        <v/>
      </c>
      <c r="D32" s="29">
        <f>D11+D19+D22+D29+D31</f>
        <v/>
      </c>
      <c r="E32" s="29">
        <f>E11+E19+E22+E29+E31</f>
        <v/>
      </c>
      <c r="F32" s="29">
        <f>F11+F19+F22+F29+F31</f>
        <v/>
      </c>
      <c r="G32" s="29">
        <f>G11+G19+G22+G29+G31</f>
        <v/>
      </c>
      <c r="H32" s="29">
        <f>H11+H19+H22+H29+H31</f>
        <v/>
      </c>
      <c r="I32" s="29">
        <f>I11+I19+I22+I29+I31</f>
        <v/>
      </c>
      <c r="J32" s="29">
        <f>J11+J19+J22+J29+J31</f>
        <v/>
      </c>
      <c r="K32" s="29">
        <f>K11+K19+K22+K29+K31</f>
        <v/>
      </c>
      <c r="L32" s="29">
        <f>L11+L19+L22+L29+L31</f>
        <v/>
      </c>
      <c r="M32" s="29">
        <f>M11+M19+M22+M29+M31</f>
        <v/>
      </c>
      <c r="N32" s="29">
        <f>N11+N19+N22+N29+N31</f>
        <v/>
      </c>
      <c r="O32" s="29">
        <f>O11+O19+O22+O29+O31</f>
        <v/>
      </c>
      <c r="P32" s="29">
        <f>P11+P19+P22+P29+P31</f>
        <v/>
      </c>
      <c r="Q32" s="29">
        <f>Q11+Q19+Q22+Q29+Q31</f>
        <v/>
      </c>
      <c r="R32" s="29">
        <f>R11+R19+R22+R29+R31</f>
        <v/>
      </c>
      <c r="S32" s="29">
        <f>S11+S19+S22+S29+S31</f>
        <v/>
      </c>
      <c r="T32" s="29">
        <f>T11+T19+T22+T29+T31</f>
        <v/>
      </c>
      <c r="U32" s="29">
        <f>U11+U19+U22+U29+U31</f>
        <v/>
      </c>
      <c r="V32" s="29">
        <f>V11+V19+V22+V29+V31</f>
        <v/>
      </c>
      <c r="W32" s="29">
        <f>W11+W19+W22+W29+W31</f>
        <v/>
      </c>
      <c r="X32" s="29">
        <f>X11+X19+X22+X29+X31</f>
        <v/>
      </c>
      <c r="Y32" s="29">
        <f>Y11+Y19+Y22+Y29+Y31</f>
        <v/>
      </c>
      <c r="Z32" s="29">
        <f>Z11+Z19+Z22+Z29+Z31</f>
        <v/>
      </c>
      <c r="AA32" s="29">
        <f>AA11+AA19+AA22+AA29+AA31</f>
        <v/>
      </c>
      <c r="AB32" s="29">
        <f>AB11+AB19+AB22+AB29+AB31</f>
        <v/>
      </c>
      <c r="AC32" s="29">
        <f>AC11+AC19+AC22+AC29+AC31</f>
        <v/>
      </c>
      <c r="AD32" s="29">
        <f>AD11+AD19+AD22+AD29+AD31</f>
        <v/>
      </c>
      <c r="AE32" s="29">
        <f>AE11+AE19+AE22+AE29+AE31</f>
        <v/>
      </c>
      <c r="AF32" s="29">
        <f>AF11+AF19+AF22+AF29+AF31</f>
        <v/>
      </c>
      <c r="AG32" s="29">
        <f>AG11+AG19+AG22+AG29+AG31</f>
        <v/>
      </c>
      <c r="AH32" s="29">
        <f>AH11+AH19+AH22+AH29+AH31</f>
        <v/>
      </c>
      <c r="AI32" s="29">
        <f>AI11+AI19+AI22+AI29+AI31</f>
        <v/>
      </c>
      <c r="AJ32" s="29">
        <f>AJ11+AJ19+AJ22+AJ29+AJ31</f>
        <v/>
      </c>
      <c r="AK32" s="29">
        <f>AK11+AK19+AK22+AK29+AK31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38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Income Statement</t>
        </is>
      </c>
    </row>
    <row r="2">
      <c r="A2" s="8" t="inlineStr">
        <is>
          <t>Revenue recognized ratably; Stripe fees expensed as incurred. No D&amp;A; taxes $0 (NOLs).</t>
        </is>
      </c>
    </row>
    <row r="4">
      <c r="A4" s="25" t="inlineStr">
        <is>
          <t>($ unless noted)</t>
        </is>
      </c>
      <c r="B4" s="26" t="inlineStr">
        <is>
          <t>M1 Aug-26</t>
        </is>
      </c>
      <c r="C4" s="26" t="inlineStr">
        <is>
          <t>M2 Sep-26</t>
        </is>
      </c>
      <c r="D4" s="26" t="inlineStr">
        <is>
          <t>M3 Oct-26</t>
        </is>
      </c>
      <c r="E4" s="26" t="inlineStr">
        <is>
          <t>M4 Nov-26</t>
        </is>
      </c>
      <c r="F4" s="26" t="inlineStr">
        <is>
          <t>M5 Dec-26</t>
        </is>
      </c>
      <c r="G4" s="26" t="inlineStr">
        <is>
          <t>M6 Jan-27</t>
        </is>
      </c>
      <c r="H4" s="26" t="inlineStr">
        <is>
          <t>M7 Feb-27</t>
        </is>
      </c>
      <c r="I4" s="26" t="inlineStr">
        <is>
          <t>M8 Mar-27</t>
        </is>
      </c>
      <c r="J4" s="26" t="inlineStr">
        <is>
          <t>M9 Apr-27</t>
        </is>
      </c>
      <c r="K4" s="26" t="inlineStr">
        <is>
          <t>M10 May-27</t>
        </is>
      </c>
      <c r="L4" s="26" t="inlineStr">
        <is>
          <t>M11 Jun-27</t>
        </is>
      </c>
      <c r="M4" s="26" t="inlineStr">
        <is>
          <t>M12 Jul-27</t>
        </is>
      </c>
      <c r="N4" s="26" t="inlineStr">
        <is>
          <t>M13 Aug-27</t>
        </is>
      </c>
      <c r="O4" s="26" t="inlineStr">
        <is>
          <t>M14 Sep-27</t>
        </is>
      </c>
      <c r="P4" s="26" t="inlineStr">
        <is>
          <t>M15 Oct-27</t>
        </is>
      </c>
      <c r="Q4" s="26" t="inlineStr">
        <is>
          <t>M16 Nov-27</t>
        </is>
      </c>
      <c r="R4" s="26" t="inlineStr">
        <is>
          <t>M17 Dec-27</t>
        </is>
      </c>
      <c r="S4" s="26" t="inlineStr">
        <is>
          <t>M18 Jan-28</t>
        </is>
      </c>
      <c r="T4" s="26" t="inlineStr">
        <is>
          <t>M19 Feb-28</t>
        </is>
      </c>
      <c r="U4" s="26" t="inlineStr">
        <is>
          <t>M20 Mar-28</t>
        </is>
      </c>
      <c r="V4" s="26" t="inlineStr">
        <is>
          <t>M21 Apr-28</t>
        </is>
      </c>
      <c r="W4" s="26" t="inlineStr">
        <is>
          <t>M22 May-28</t>
        </is>
      </c>
      <c r="X4" s="26" t="inlineStr">
        <is>
          <t>M23 Jun-28</t>
        </is>
      </c>
      <c r="Y4" s="26" t="inlineStr">
        <is>
          <t>M24 Jul-28</t>
        </is>
      </c>
      <c r="Z4" s="26" t="inlineStr">
        <is>
          <t>M25 Aug-28</t>
        </is>
      </c>
      <c r="AA4" s="26" t="inlineStr">
        <is>
          <t>M26 Sep-28</t>
        </is>
      </c>
      <c r="AB4" s="26" t="inlineStr">
        <is>
          <t>M27 Oct-28</t>
        </is>
      </c>
      <c r="AC4" s="26" t="inlineStr">
        <is>
          <t>M28 Nov-28</t>
        </is>
      </c>
      <c r="AD4" s="26" t="inlineStr">
        <is>
          <t>M29 Dec-28</t>
        </is>
      </c>
      <c r="AE4" s="26" t="inlineStr">
        <is>
          <t>M30 Jan-29</t>
        </is>
      </c>
      <c r="AF4" s="26" t="inlineStr">
        <is>
          <t>M31 Feb-29</t>
        </is>
      </c>
      <c r="AG4" s="26" t="inlineStr">
        <is>
          <t>M32 Mar-29</t>
        </is>
      </c>
      <c r="AH4" s="26" t="inlineStr">
        <is>
          <t>M33 Apr-29</t>
        </is>
      </c>
      <c r="AI4" s="26" t="inlineStr">
        <is>
          <t>M34 May-29</t>
        </is>
      </c>
      <c r="AJ4" s="26" t="inlineStr">
        <is>
          <t>M35 Jun-29</t>
        </is>
      </c>
      <c r="AK4" s="26" t="inlineStr">
        <is>
          <t>M36 Jul-29</t>
        </is>
      </c>
    </row>
    <row r="5">
      <c r="A5" s="12" t="inlineStr">
        <is>
          <t>Revenue (recognized)</t>
        </is>
      </c>
      <c r="B5" s="31">
        <f>'Rev Build'!B24</f>
        <v/>
      </c>
      <c r="C5" s="31">
        <f>'Rev Build'!C24</f>
        <v/>
      </c>
      <c r="D5" s="31">
        <f>'Rev Build'!D24</f>
        <v/>
      </c>
      <c r="E5" s="31">
        <f>'Rev Build'!E24</f>
        <v/>
      </c>
      <c r="F5" s="31">
        <f>'Rev Build'!F24</f>
        <v/>
      </c>
      <c r="G5" s="31">
        <f>'Rev Build'!G24</f>
        <v/>
      </c>
      <c r="H5" s="31">
        <f>'Rev Build'!H24</f>
        <v/>
      </c>
      <c r="I5" s="31">
        <f>'Rev Build'!I24</f>
        <v/>
      </c>
      <c r="J5" s="31">
        <f>'Rev Build'!J24</f>
        <v/>
      </c>
      <c r="K5" s="31">
        <f>'Rev Build'!K24</f>
        <v/>
      </c>
      <c r="L5" s="31">
        <f>'Rev Build'!L24</f>
        <v/>
      </c>
      <c r="M5" s="31">
        <f>'Rev Build'!M24</f>
        <v/>
      </c>
      <c r="N5" s="31">
        <f>'Rev Build'!N24</f>
        <v/>
      </c>
      <c r="O5" s="31">
        <f>'Rev Build'!O24</f>
        <v/>
      </c>
      <c r="P5" s="31">
        <f>'Rev Build'!P24</f>
        <v/>
      </c>
      <c r="Q5" s="31">
        <f>'Rev Build'!Q24</f>
        <v/>
      </c>
      <c r="R5" s="31">
        <f>'Rev Build'!R24</f>
        <v/>
      </c>
      <c r="S5" s="31">
        <f>'Rev Build'!S24</f>
        <v/>
      </c>
      <c r="T5" s="31">
        <f>'Rev Build'!T24</f>
        <v/>
      </c>
      <c r="U5" s="31">
        <f>'Rev Build'!U24</f>
        <v/>
      </c>
      <c r="V5" s="31">
        <f>'Rev Build'!V24</f>
        <v/>
      </c>
      <c r="W5" s="31">
        <f>'Rev Build'!W24</f>
        <v/>
      </c>
      <c r="X5" s="31">
        <f>'Rev Build'!X24</f>
        <v/>
      </c>
      <c r="Y5" s="31">
        <f>'Rev Build'!Y24</f>
        <v/>
      </c>
      <c r="Z5" s="31">
        <f>'Rev Build'!Z24</f>
        <v/>
      </c>
      <c r="AA5" s="31">
        <f>'Rev Build'!AA24</f>
        <v/>
      </c>
      <c r="AB5" s="31">
        <f>'Rev Build'!AB24</f>
        <v/>
      </c>
      <c r="AC5" s="31">
        <f>'Rev Build'!AC24</f>
        <v/>
      </c>
      <c r="AD5" s="31">
        <f>'Rev Build'!AD24</f>
        <v/>
      </c>
      <c r="AE5" s="31">
        <f>'Rev Build'!AE24</f>
        <v/>
      </c>
      <c r="AF5" s="31">
        <f>'Rev Build'!AF24</f>
        <v/>
      </c>
      <c r="AG5" s="31">
        <f>'Rev Build'!AG24</f>
        <v/>
      </c>
      <c r="AH5" s="31">
        <f>'Rev Build'!AH24</f>
        <v/>
      </c>
      <c r="AI5" s="31">
        <f>'Rev Build'!AI24</f>
        <v/>
      </c>
      <c r="AJ5" s="31">
        <f>'Rev Build'!AJ24</f>
        <v/>
      </c>
      <c r="AK5" s="31">
        <f>'Rev Build'!AK24</f>
        <v/>
      </c>
    </row>
    <row r="6">
      <c r="A6" t="inlineStr">
        <is>
          <t>Cost of revenue</t>
        </is>
      </c>
      <c r="B6" s="30">
        <f>-Opex!B11</f>
        <v/>
      </c>
      <c r="C6" s="30">
        <f>-Opex!C11</f>
        <v/>
      </c>
      <c r="D6" s="30">
        <f>-Opex!D11</f>
        <v/>
      </c>
      <c r="E6" s="30">
        <f>-Opex!E11</f>
        <v/>
      </c>
      <c r="F6" s="30">
        <f>-Opex!F11</f>
        <v/>
      </c>
      <c r="G6" s="30">
        <f>-Opex!G11</f>
        <v/>
      </c>
      <c r="H6" s="30">
        <f>-Opex!H11</f>
        <v/>
      </c>
      <c r="I6" s="30">
        <f>-Opex!I11</f>
        <v/>
      </c>
      <c r="J6" s="30">
        <f>-Opex!J11</f>
        <v/>
      </c>
      <c r="K6" s="30">
        <f>-Opex!K11</f>
        <v/>
      </c>
      <c r="L6" s="30">
        <f>-Opex!L11</f>
        <v/>
      </c>
      <c r="M6" s="30">
        <f>-Opex!M11</f>
        <v/>
      </c>
      <c r="N6" s="30">
        <f>-Opex!N11</f>
        <v/>
      </c>
      <c r="O6" s="30">
        <f>-Opex!O11</f>
        <v/>
      </c>
      <c r="P6" s="30">
        <f>-Opex!P11</f>
        <v/>
      </c>
      <c r="Q6" s="30">
        <f>-Opex!Q11</f>
        <v/>
      </c>
      <c r="R6" s="30">
        <f>-Opex!R11</f>
        <v/>
      </c>
      <c r="S6" s="30">
        <f>-Opex!S11</f>
        <v/>
      </c>
      <c r="T6" s="30">
        <f>-Opex!T11</f>
        <v/>
      </c>
      <c r="U6" s="30">
        <f>-Opex!U11</f>
        <v/>
      </c>
      <c r="V6" s="30">
        <f>-Opex!V11</f>
        <v/>
      </c>
      <c r="W6" s="30">
        <f>-Opex!W11</f>
        <v/>
      </c>
      <c r="X6" s="30">
        <f>-Opex!X11</f>
        <v/>
      </c>
      <c r="Y6" s="30">
        <f>-Opex!Y11</f>
        <v/>
      </c>
      <c r="Z6" s="30">
        <f>-Opex!Z11</f>
        <v/>
      </c>
      <c r="AA6" s="30">
        <f>-Opex!AA11</f>
        <v/>
      </c>
      <c r="AB6" s="30">
        <f>-Opex!AB11</f>
        <v/>
      </c>
      <c r="AC6" s="30">
        <f>-Opex!AC11</f>
        <v/>
      </c>
      <c r="AD6" s="30">
        <f>-Opex!AD11</f>
        <v/>
      </c>
      <c r="AE6" s="30">
        <f>-Opex!AE11</f>
        <v/>
      </c>
      <c r="AF6" s="30">
        <f>-Opex!AF11</f>
        <v/>
      </c>
      <c r="AG6" s="30">
        <f>-Opex!AG11</f>
        <v/>
      </c>
      <c r="AH6" s="30">
        <f>-Opex!AH11</f>
        <v/>
      </c>
      <c r="AI6" s="30">
        <f>-Opex!AI11</f>
        <v/>
      </c>
      <c r="AJ6" s="30">
        <f>-Opex!AJ11</f>
        <v/>
      </c>
      <c r="AK6" s="30">
        <f>-Opex!AK11</f>
        <v/>
      </c>
    </row>
    <row r="7">
      <c r="A7" s="28" t="inlineStr">
        <is>
          <t>Gross profit</t>
        </is>
      </c>
      <c r="B7" s="29">
        <f>B5+B6</f>
        <v/>
      </c>
      <c r="C7" s="29">
        <f>C5+C6</f>
        <v/>
      </c>
      <c r="D7" s="29">
        <f>D5+D6</f>
        <v/>
      </c>
      <c r="E7" s="29">
        <f>E5+E6</f>
        <v/>
      </c>
      <c r="F7" s="29">
        <f>F5+F6</f>
        <v/>
      </c>
      <c r="G7" s="29">
        <f>G5+G6</f>
        <v/>
      </c>
      <c r="H7" s="29">
        <f>H5+H6</f>
        <v/>
      </c>
      <c r="I7" s="29">
        <f>I5+I6</f>
        <v/>
      </c>
      <c r="J7" s="29">
        <f>J5+J6</f>
        <v/>
      </c>
      <c r="K7" s="29">
        <f>K5+K6</f>
        <v/>
      </c>
      <c r="L7" s="29">
        <f>L5+L6</f>
        <v/>
      </c>
      <c r="M7" s="29">
        <f>M5+M6</f>
        <v/>
      </c>
      <c r="N7" s="29">
        <f>N5+N6</f>
        <v/>
      </c>
      <c r="O7" s="29">
        <f>O5+O6</f>
        <v/>
      </c>
      <c r="P7" s="29">
        <f>P5+P6</f>
        <v/>
      </c>
      <c r="Q7" s="29">
        <f>Q5+Q6</f>
        <v/>
      </c>
      <c r="R7" s="29">
        <f>R5+R6</f>
        <v/>
      </c>
      <c r="S7" s="29">
        <f>S5+S6</f>
        <v/>
      </c>
      <c r="T7" s="29">
        <f>T5+T6</f>
        <v/>
      </c>
      <c r="U7" s="29">
        <f>U5+U6</f>
        <v/>
      </c>
      <c r="V7" s="29">
        <f>V5+V6</f>
        <v/>
      </c>
      <c r="W7" s="29">
        <f>W5+W6</f>
        <v/>
      </c>
      <c r="X7" s="29">
        <f>X5+X6</f>
        <v/>
      </c>
      <c r="Y7" s="29">
        <f>Y5+Y6</f>
        <v/>
      </c>
      <c r="Z7" s="29">
        <f>Z5+Z6</f>
        <v/>
      </c>
      <c r="AA7" s="29">
        <f>AA5+AA6</f>
        <v/>
      </c>
      <c r="AB7" s="29">
        <f>AB5+AB6</f>
        <v/>
      </c>
      <c r="AC7" s="29">
        <f>AC5+AC6</f>
        <v/>
      </c>
      <c r="AD7" s="29">
        <f>AD5+AD6</f>
        <v/>
      </c>
      <c r="AE7" s="29">
        <f>AE5+AE6</f>
        <v/>
      </c>
      <c r="AF7" s="29">
        <f>AF5+AF6</f>
        <v/>
      </c>
      <c r="AG7" s="29">
        <f>AG5+AG6</f>
        <v/>
      </c>
      <c r="AH7" s="29">
        <f>AH5+AH6</f>
        <v/>
      </c>
      <c r="AI7" s="29">
        <f>AI5+AI6</f>
        <v/>
      </c>
      <c r="AJ7" s="29">
        <f>AJ5+AJ6</f>
        <v/>
      </c>
      <c r="AK7" s="29">
        <f>AK5+AK6</f>
        <v/>
      </c>
    </row>
    <row r="8">
      <c r="A8" t="inlineStr">
        <is>
          <t>Gross margin %</t>
        </is>
      </c>
      <c r="B8" s="32">
        <f>IF(B5=0,0,B7/B5)</f>
        <v/>
      </c>
      <c r="C8" s="32">
        <f>IF(C5=0,0,C7/C5)</f>
        <v/>
      </c>
      <c r="D8" s="32">
        <f>IF(D5=0,0,D7/D5)</f>
        <v/>
      </c>
      <c r="E8" s="32">
        <f>IF(E5=0,0,E7/E5)</f>
        <v/>
      </c>
      <c r="F8" s="32">
        <f>IF(F5=0,0,F7/F5)</f>
        <v/>
      </c>
      <c r="G8" s="32">
        <f>IF(G5=0,0,G7/G5)</f>
        <v/>
      </c>
      <c r="H8" s="32">
        <f>IF(H5=0,0,H7/H5)</f>
        <v/>
      </c>
      <c r="I8" s="32">
        <f>IF(I5=0,0,I7/I5)</f>
        <v/>
      </c>
      <c r="J8" s="32">
        <f>IF(J5=0,0,J7/J5)</f>
        <v/>
      </c>
      <c r="K8" s="32">
        <f>IF(K5=0,0,K7/K5)</f>
        <v/>
      </c>
      <c r="L8" s="32">
        <f>IF(L5=0,0,L7/L5)</f>
        <v/>
      </c>
      <c r="M8" s="32">
        <f>IF(M5=0,0,M7/M5)</f>
        <v/>
      </c>
      <c r="N8" s="32">
        <f>IF(N5=0,0,N7/N5)</f>
        <v/>
      </c>
      <c r="O8" s="32">
        <f>IF(O5=0,0,O7/O5)</f>
        <v/>
      </c>
      <c r="P8" s="32">
        <f>IF(P5=0,0,P7/P5)</f>
        <v/>
      </c>
      <c r="Q8" s="32">
        <f>IF(Q5=0,0,Q7/Q5)</f>
        <v/>
      </c>
      <c r="R8" s="32">
        <f>IF(R5=0,0,R7/R5)</f>
        <v/>
      </c>
      <c r="S8" s="32">
        <f>IF(S5=0,0,S7/S5)</f>
        <v/>
      </c>
      <c r="T8" s="32">
        <f>IF(T5=0,0,T7/T5)</f>
        <v/>
      </c>
      <c r="U8" s="32">
        <f>IF(U5=0,0,U7/U5)</f>
        <v/>
      </c>
      <c r="V8" s="32">
        <f>IF(V5=0,0,V7/V5)</f>
        <v/>
      </c>
      <c r="W8" s="32">
        <f>IF(W5=0,0,W7/W5)</f>
        <v/>
      </c>
      <c r="X8" s="32">
        <f>IF(X5=0,0,X7/X5)</f>
        <v/>
      </c>
      <c r="Y8" s="32">
        <f>IF(Y5=0,0,Y7/Y5)</f>
        <v/>
      </c>
      <c r="Z8" s="32">
        <f>IF(Z5=0,0,Z7/Z5)</f>
        <v/>
      </c>
      <c r="AA8" s="32">
        <f>IF(AA5=0,0,AA7/AA5)</f>
        <v/>
      </c>
      <c r="AB8" s="32">
        <f>IF(AB5=0,0,AB7/AB5)</f>
        <v/>
      </c>
      <c r="AC8" s="32">
        <f>IF(AC5=0,0,AC7/AC5)</f>
        <v/>
      </c>
      <c r="AD8" s="32">
        <f>IF(AD5=0,0,AD7/AD5)</f>
        <v/>
      </c>
      <c r="AE8" s="32">
        <f>IF(AE5=0,0,AE7/AE5)</f>
        <v/>
      </c>
      <c r="AF8" s="32">
        <f>IF(AF5=0,0,AF7/AF5)</f>
        <v/>
      </c>
      <c r="AG8" s="32">
        <f>IF(AG5=0,0,AG7/AG5)</f>
        <v/>
      </c>
      <c r="AH8" s="32">
        <f>IF(AH5=0,0,AH7/AH5)</f>
        <v/>
      </c>
      <c r="AI8" s="32">
        <f>IF(AI5=0,0,AI7/AI5)</f>
        <v/>
      </c>
      <c r="AJ8" s="32">
        <f>IF(AJ5=0,0,AJ7/AJ5)</f>
        <v/>
      </c>
      <c r="AK8" s="32">
        <f>IF(AK5=0,0,AK7/AK5)</f>
        <v/>
      </c>
    </row>
    <row r="9">
      <c r="A9" t="inlineStr">
        <is>
          <t>R&amp;D — model training</t>
        </is>
      </c>
      <c r="B9" s="30">
        <f>-Opex!B19</f>
        <v/>
      </c>
      <c r="C9" s="30">
        <f>-Opex!C19</f>
        <v/>
      </c>
      <c r="D9" s="30">
        <f>-Opex!D19</f>
        <v/>
      </c>
      <c r="E9" s="30">
        <f>-Opex!E19</f>
        <v/>
      </c>
      <c r="F9" s="30">
        <f>-Opex!F19</f>
        <v/>
      </c>
      <c r="G9" s="30">
        <f>-Opex!G19</f>
        <v/>
      </c>
      <c r="H9" s="30">
        <f>-Opex!H19</f>
        <v/>
      </c>
      <c r="I9" s="30">
        <f>-Opex!I19</f>
        <v/>
      </c>
      <c r="J9" s="30">
        <f>-Opex!J19</f>
        <v/>
      </c>
      <c r="K9" s="30">
        <f>-Opex!K19</f>
        <v/>
      </c>
      <c r="L9" s="30">
        <f>-Opex!L19</f>
        <v/>
      </c>
      <c r="M9" s="30">
        <f>-Opex!M19</f>
        <v/>
      </c>
      <c r="N9" s="30">
        <f>-Opex!N19</f>
        <v/>
      </c>
      <c r="O9" s="30">
        <f>-Opex!O19</f>
        <v/>
      </c>
      <c r="P9" s="30">
        <f>-Opex!P19</f>
        <v/>
      </c>
      <c r="Q9" s="30">
        <f>-Opex!Q19</f>
        <v/>
      </c>
      <c r="R9" s="30">
        <f>-Opex!R19</f>
        <v/>
      </c>
      <c r="S9" s="30">
        <f>-Opex!S19</f>
        <v/>
      </c>
      <c r="T9" s="30">
        <f>-Opex!T19</f>
        <v/>
      </c>
      <c r="U9" s="30">
        <f>-Opex!U19</f>
        <v/>
      </c>
      <c r="V9" s="30">
        <f>-Opex!V19</f>
        <v/>
      </c>
      <c r="W9" s="30">
        <f>-Opex!W19</f>
        <v/>
      </c>
      <c r="X9" s="30">
        <f>-Opex!X19</f>
        <v/>
      </c>
      <c r="Y9" s="30">
        <f>-Opex!Y19</f>
        <v/>
      </c>
      <c r="Z9" s="30">
        <f>-Opex!Z19</f>
        <v/>
      </c>
      <c r="AA9" s="30">
        <f>-Opex!AA19</f>
        <v/>
      </c>
      <c r="AB9" s="30">
        <f>-Opex!AB19</f>
        <v/>
      </c>
      <c r="AC9" s="30">
        <f>-Opex!AC19</f>
        <v/>
      </c>
      <c r="AD9" s="30">
        <f>-Opex!AD19</f>
        <v/>
      </c>
      <c r="AE9" s="30">
        <f>-Opex!AE19</f>
        <v/>
      </c>
      <c r="AF9" s="30">
        <f>-Opex!AF19</f>
        <v/>
      </c>
      <c r="AG9" s="30">
        <f>-Opex!AG19</f>
        <v/>
      </c>
      <c r="AH9" s="30">
        <f>-Opex!AH19</f>
        <v/>
      </c>
      <c r="AI9" s="30">
        <f>-Opex!AI19</f>
        <v/>
      </c>
      <c r="AJ9" s="30">
        <f>-Opex!AJ19</f>
        <v/>
      </c>
      <c r="AK9" s="30">
        <f>-Opex!AK19</f>
        <v/>
      </c>
    </row>
    <row r="10">
      <c r="A10" t="inlineStr">
        <is>
          <t>Sales &amp; marketing</t>
        </is>
      </c>
      <c r="B10" s="30">
        <f>-Opex!B22</f>
        <v/>
      </c>
      <c r="C10" s="30">
        <f>-Opex!C22</f>
        <v/>
      </c>
      <c r="D10" s="30">
        <f>-Opex!D22</f>
        <v/>
      </c>
      <c r="E10" s="30">
        <f>-Opex!E22</f>
        <v/>
      </c>
      <c r="F10" s="30">
        <f>-Opex!F22</f>
        <v/>
      </c>
      <c r="G10" s="30">
        <f>-Opex!G22</f>
        <v/>
      </c>
      <c r="H10" s="30">
        <f>-Opex!H22</f>
        <v/>
      </c>
      <c r="I10" s="30">
        <f>-Opex!I22</f>
        <v/>
      </c>
      <c r="J10" s="30">
        <f>-Opex!J22</f>
        <v/>
      </c>
      <c r="K10" s="30">
        <f>-Opex!K22</f>
        <v/>
      </c>
      <c r="L10" s="30">
        <f>-Opex!L22</f>
        <v/>
      </c>
      <c r="M10" s="30">
        <f>-Opex!M22</f>
        <v/>
      </c>
      <c r="N10" s="30">
        <f>-Opex!N22</f>
        <v/>
      </c>
      <c r="O10" s="30">
        <f>-Opex!O22</f>
        <v/>
      </c>
      <c r="P10" s="30">
        <f>-Opex!P22</f>
        <v/>
      </c>
      <c r="Q10" s="30">
        <f>-Opex!Q22</f>
        <v/>
      </c>
      <c r="R10" s="30">
        <f>-Opex!R22</f>
        <v/>
      </c>
      <c r="S10" s="30">
        <f>-Opex!S22</f>
        <v/>
      </c>
      <c r="T10" s="30">
        <f>-Opex!T22</f>
        <v/>
      </c>
      <c r="U10" s="30">
        <f>-Opex!U22</f>
        <v/>
      </c>
      <c r="V10" s="30">
        <f>-Opex!V22</f>
        <v/>
      </c>
      <c r="W10" s="30">
        <f>-Opex!W22</f>
        <v/>
      </c>
      <c r="X10" s="30">
        <f>-Opex!X22</f>
        <v/>
      </c>
      <c r="Y10" s="30">
        <f>-Opex!Y22</f>
        <v/>
      </c>
      <c r="Z10" s="30">
        <f>-Opex!Z22</f>
        <v/>
      </c>
      <c r="AA10" s="30">
        <f>-Opex!AA22</f>
        <v/>
      </c>
      <c r="AB10" s="30">
        <f>-Opex!AB22</f>
        <v/>
      </c>
      <c r="AC10" s="30">
        <f>-Opex!AC22</f>
        <v/>
      </c>
      <c r="AD10" s="30">
        <f>-Opex!AD22</f>
        <v/>
      </c>
      <c r="AE10" s="30">
        <f>-Opex!AE22</f>
        <v/>
      </c>
      <c r="AF10" s="30">
        <f>-Opex!AF22</f>
        <v/>
      </c>
      <c r="AG10" s="30">
        <f>-Opex!AG22</f>
        <v/>
      </c>
      <c r="AH10" s="30">
        <f>-Opex!AH22</f>
        <v/>
      </c>
      <c r="AI10" s="30">
        <f>-Opex!AI22</f>
        <v/>
      </c>
      <c r="AJ10" s="30">
        <f>-Opex!AJ22</f>
        <v/>
      </c>
      <c r="AK10" s="30">
        <f>-Opex!AK22</f>
        <v/>
      </c>
    </row>
    <row r="11">
      <c r="A11" t="inlineStr">
        <is>
          <t>General &amp; administrative</t>
        </is>
      </c>
      <c r="B11" s="30">
        <f>-Opex!B29</f>
        <v/>
      </c>
      <c r="C11" s="30">
        <f>-Opex!C29</f>
        <v/>
      </c>
      <c r="D11" s="30">
        <f>-Opex!D29</f>
        <v/>
      </c>
      <c r="E11" s="30">
        <f>-Opex!E29</f>
        <v/>
      </c>
      <c r="F11" s="30">
        <f>-Opex!F29</f>
        <v/>
      </c>
      <c r="G11" s="30">
        <f>-Opex!G29</f>
        <v/>
      </c>
      <c r="H11" s="30">
        <f>-Opex!H29</f>
        <v/>
      </c>
      <c r="I11" s="30">
        <f>-Opex!I29</f>
        <v/>
      </c>
      <c r="J11" s="30">
        <f>-Opex!J29</f>
        <v/>
      </c>
      <c r="K11" s="30">
        <f>-Opex!K29</f>
        <v/>
      </c>
      <c r="L11" s="30">
        <f>-Opex!L29</f>
        <v/>
      </c>
      <c r="M11" s="30">
        <f>-Opex!M29</f>
        <v/>
      </c>
      <c r="N11" s="30">
        <f>-Opex!N29</f>
        <v/>
      </c>
      <c r="O11" s="30">
        <f>-Opex!O29</f>
        <v/>
      </c>
      <c r="P11" s="30">
        <f>-Opex!P29</f>
        <v/>
      </c>
      <c r="Q11" s="30">
        <f>-Opex!Q29</f>
        <v/>
      </c>
      <c r="R11" s="30">
        <f>-Opex!R29</f>
        <v/>
      </c>
      <c r="S11" s="30">
        <f>-Opex!S29</f>
        <v/>
      </c>
      <c r="T11" s="30">
        <f>-Opex!T29</f>
        <v/>
      </c>
      <c r="U11" s="30">
        <f>-Opex!U29</f>
        <v/>
      </c>
      <c r="V11" s="30">
        <f>-Opex!V29</f>
        <v/>
      </c>
      <c r="W11" s="30">
        <f>-Opex!W29</f>
        <v/>
      </c>
      <c r="X11" s="30">
        <f>-Opex!X29</f>
        <v/>
      </c>
      <c r="Y11" s="30">
        <f>-Opex!Y29</f>
        <v/>
      </c>
      <c r="Z11" s="30">
        <f>-Opex!Z29</f>
        <v/>
      </c>
      <c r="AA11" s="30">
        <f>-Opex!AA29</f>
        <v/>
      </c>
      <c r="AB11" s="30">
        <f>-Opex!AB29</f>
        <v/>
      </c>
      <c r="AC11" s="30">
        <f>-Opex!AC29</f>
        <v/>
      </c>
      <c r="AD11" s="30">
        <f>-Opex!AD29</f>
        <v/>
      </c>
      <c r="AE11" s="30">
        <f>-Opex!AE29</f>
        <v/>
      </c>
      <c r="AF11" s="30">
        <f>-Opex!AF29</f>
        <v/>
      </c>
      <c r="AG11" s="30">
        <f>-Opex!AG29</f>
        <v/>
      </c>
      <c r="AH11" s="30">
        <f>-Opex!AH29</f>
        <v/>
      </c>
      <c r="AI11" s="30">
        <f>-Opex!AI29</f>
        <v/>
      </c>
      <c r="AJ11" s="30">
        <f>-Opex!AJ29</f>
        <v/>
      </c>
      <c r="AK11" s="30">
        <f>-Opex!AK29</f>
        <v/>
      </c>
    </row>
    <row r="12">
      <c r="A12" t="inlineStr">
        <is>
          <t>One-time formation &amp; legal</t>
        </is>
      </c>
      <c r="B12" s="30">
        <f>-Opex!B31</f>
        <v/>
      </c>
      <c r="C12" s="30">
        <f>-Opex!C31</f>
        <v/>
      </c>
      <c r="D12" s="30">
        <f>-Opex!D31</f>
        <v/>
      </c>
      <c r="E12" s="30">
        <f>-Opex!E31</f>
        <v/>
      </c>
      <c r="F12" s="30">
        <f>-Opex!F31</f>
        <v/>
      </c>
      <c r="G12" s="30">
        <f>-Opex!G31</f>
        <v/>
      </c>
      <c r="H12" s="30">
        <f>-Opex!H31</f>
        <v/>
      </c>
      <c r="I12" s="30">
        <f>-Opex!I31</f>
        <v/>
      </c>
      <c r="J12" s="30">
        <f>-Opex!J31</f>
        <v/>
      </c>
      <c r="K12" s="30">
        <f>-Opex!K31</f>
        <v/>
      </c>
      <c r="L12" s="30">
        <f>-Opex!L31</f>
        <v/>
      </c>
      <c r="M12" s="30">
        <f>-Opex!M31</f>
        <v/>
      </c>
      <c r="N12" s="30">
        <f>-Opex!N31</f>
        <v/>
      </c>
      <c r="O12" s="30">
        <f>-Opex!O31</f>
        <v/>
      </c>
      <c r="P12" s="30">
        <f>-Opex!P31</f>
        <v/>
      </c>
      <c r="Q12" s="30">
        <f>-Opex!Q31</f>
        <v/>
      </c>
      <c r="R12" s="30">
        <f>-Opex!R31</f>
        <v/>
      </c>
      <c r="S12" s="30">
        <f>-Opex!S31</f>
        <v/>
      </c>
      <c r="T12" s="30">
        <f>-Opex!T31</f>
        <v/>
      </c>
      <c r="U12" s="30">
        <f>-Opex!U31</f>
        <v/>
      </c>
      <c r="V12" s="30">
        <f>-Opex!V31</f>
        <v/>
      </c>
      <c r="W12" s="30">
        <f>-Opex!W31</f>
        <v/>
      </c>
      <c r="X12" s="30">
        <f>-Opex!X31</f>
        <v/>
      </c>
      <c r="Y12" s="30">
        <f>-Opex!Y31</f>
        <v/>
      </c>
      <c r="Z12" s="30">
        <f>-Opex!Z31</f>
        <v/>
      </c>
      <c r="AA12" s="30">
        <f>-Opex!AA31</f>
        <v/>
      </c>
      <c r="AB12" s="30">
        <f>-Opex!AB31</f>
        <v/>
      </c>
      <c r="AC12" s="30">
        <f>-Opex!AC31</f>
        <v/>
      </c>
      <c r="AD12" s="30">
        <f>-Opex!AD31</f>
        <v/>
      </c>
      <c r="AE12" s="30">
        <f>-Opex!AE31</f>
        <v/>
      </c>
      <c r="AF12" s="30">
        <f>-Opex!AF31</f>
        <v/>
      </c>
      <c r="AG12" s="30">
        <f>-Opex!AG31</f>
        <v/>
      </c>
      <c r="AH12" s="30">
        <f>-Opex!AH31</f>
        <v/>
      </c>
      <c r="AI12" s="30">
        <f>-Opex!AI31</f>
        <v/>
      </c>
      <c r="AJ12" s="30">
        <f>-Opex!AJ31</f>
        <v/>
      </c>
      <c r="AK12" s="30">
        <f>-Opex!AK31</f>
        <v/>
      </c>
    </row>
    <row r="13">
      <c r="A13" s="12" t="inlineStr">
        <is>
          <t>Total operating expenses</t>
        </is>
      </c>
      <c r="B13" s="17">
        <f>B9+B10+B11+B12</f>
        <v/>
      </c>
      <c r="C13" s="17">
        <f>C9+C10+C11+C12</f>
        <v/>
      </c>
      <c r="D13" s="17">
        <f>D9+D10+D11+D12</f>
        <v/>
      </c>
      <c r="E13" s="17">
        <f>E9+E10+E11+E12</f>
        <v/>
      </c>
      <c r="F13" s="17">
        <f>F9+F10+F11+F12</f>
        <v/>
      </c>
      <c r="G13" s="17">
        <f>G9+G10+G11+G12</f>
        <v/>
      </c>
      <c r="H13" s="17">
        <f>H9+H10+H11+H12</f>
        <v/>
      </c>
      <c r="I13" s="17">
        <f>I9+I10+I11+I12</f>
        <v/>
      </c>
      <c r="J13" s="17">
        <f>J9+J10+J11+J12</f>
        <v/>
      </c>
      <c r="K13" s="17">
        <f>K9+K10+K11+K12</f>
        <v/>
      </c>
      <c r="L13" s="17">
        <f>L9+L10+L11+L12</f>
        <v/>
      </c>
      <c r="M13" s="17">
        <f>M9+M10+M11+M12</f>
        <v/>
      </c>
      <c r="N13" s="17">
        <f>N9+N10+N11+N12</f>
        <v/>
      </c>
      <c r="O13" s="17">
        <f>O9+O10+O11+O12</f>
        <v/>
      </c>
      <c r="P13" s="17">
        <f>P9+P10+P11+P12</f>
        <v/>
      </c>
      <c r="Q13" s="17">
        <f>Q9+Q10+Q11+Q12</f>
        <v/>
      </c>
      <c r="R13" s="17">
        <f>R9+R10+R11+R12</f>
        <v/>
      </c>
      <c r="S13" s="17">
        <f>S9+S10+S11+S12</f>
        <v/>
      </c>
      <c r="T13" s="17">
        <f>T9+T10+T11+T12</f>
        <v/>
      </c>
      <c r="U13" s="17">
        <f>U9+U10+U11+U12</f>
        <v/>
      </c>
      <c r="V13" s="17">
        <f>V9+V10+V11+V12</f>
        <v/>
      </c>
      <c r="W13" s="17">
        <f>W9+W10+W11+W12</f>
        <v/>
      </c>
      <c r="X13" s="17">
        <f>X9+X10+X11+X12</f>
        <v/>
      </c>
      <c r="Y13" s="17">
        <f>Y9+Y10+Y11+Y12</f>
        <v/>
      </c>
      <c r="Z13" s="17">
        <f>Z9+Z10+Z11+Z12</f>
        <v/>
      </c>
      <c r="AA13" s="17">
        <f>AA9+AA10+AA11+AA12</f>
        <v/>
      </c>
      <c r="AB13" s="17">
        <f>AB9+AB10+AB11+AB12</f>
        <v/>
      </c>
      <c r="AC13" s="17">
        <f>AC9+AC10+AC11+AC12</f>
        <v/>
      </c>
      <c r="AD13" s="17">
        <f>AD9+AD10+AD11+AD12</f>
        <v/>
      </c>
      <c r="AE13" s="17">
        <f>AE9+AE10+AE11+AE12</f>
        <v/>
      </c>
      <c r="AF13" s="17">
        <f>AF9+AF10+AF11+AF12</f>
        <v/>
      </c>
      <c r="AG13" s="17">
        <f>AG9+AG10+AG11+AG12</f>
        <v/>
      </c>
      <c r="AH13" s="17">
        <f>AH9+AH10+AH11+AH12</f>
        <v/>
      </c>
      <c r="AI13" s="17">
        <f>AI9+AI10+AI11+AI12</f>
        <v/>
      </c>
      <c r="AJ13" s="17">
        <f>AJ9+AJ10+AJ11+AJ12</f>
        <v/>
      </c>
      <c r="AK13" s="17">
        <f>AK9+AK10+AK11+AK12</f>
        <v/>
      </c>
    </row>
    <row r="14">
      <c r="A14" s="28" t="inlineStr">
        <is>
          <t>EBITDA</t>
        </is>
      </c>
      <c r="B14" s="29">
        <f>B7+B13</f>
        <v/>
      </c>
      <c r="C14" s="29">
        <f>C7+C13</f>
        <v/>
      </c>
      <c r="D14" s="29">
        <f>D7+D13</f>
        <v/>
      </c>
      <c r="E14" s="29">
        <f>E7+E13</f>
        <v/>
      </c>
      <c r="F14" s="29">
        <f>F7+F13</f>
        <v/>
      </c>
      <c r="G14" s="29">
        <f>G7+G13</f>
        <v/>
      </c>
      <c r="H14" s="29">
        <f>H7+H13</f>
        <v/>
      </c>
      <c r="I14" s="29">
        <f>I7+I13</f>
        <v/>
      </c>
      <c r="J14" s="29">
        <f>J7+J13</f>
        <v/>
      </c>
      <c r="K14" s="29">
        <f>K7+K13</f>
        <v/>
      </c>
      <c r="L14" s="29">
        <f>L7+L13</f>
        <v/>
      </c>
      <c r="M14" s="29">
        <f>M7+M13</f>
        <v/>
      </c>
      <c r="N14" s="29">
        <f>N7+N13</f>
        <v/>
      </c>
      <c r="O14" s="29">
        <f>O7+O13</f>
        <v/>
      </c>
      <c r="P14" s="29">
        <f>P7+P13</f>
        <v/>
      </c>
      <c r="Q14" s="29">
        <f>Q7+Q13</f>
        <v/>
      </c>
      <c r="R14" s="29">
        <f>R7+R13</f>
        <v/>
      </c>
      <c r="S14" s="29">
        <f>S7+S13</f>
        <v/>
      </c>
      <c r="T14" s="29">
        <f>T7+T13</f>
        <v/>
      </c>
      <c r="U14" s="29">
        <f>U7+U13</f>
        <v/>
      </c>
      <c r="V14" s="29">
        <f>V7+V13</f>
        <v/>
      </c>
      <c r="W14" s="29">
        <f>W7+W13</f>
        <v/>
      </c>
      <c r="X14" s="29">
        <f>X7+X13</f>
        <v/>
      </c>
      <c r="Y14" s="29">
        <f>Y7+Y13</f>
        <v/>
      </c>
      <c r="Z14" s="29">
        <f>Z7+Z13</f>
        <v/>
      </c>
      <c r="AA14" s="29">
        <f>AA7+AA13</f>
        <v/>
      </c>
      <c r="AB14" s="29">
        <f>AB7+AB13</f>
        <v/>
      </c>
      <c r="AC14" s="29">
        <f>AC7+AC13</f>
        <v/>
      </c>
      <c r="AD14" s="29">
        <f>AD7+AD13</f>
        <v/>
      </c>
      <c r="AE14" s="29">
        <f>AE7+AE13</f>
        <v/>
      </c>
      <c r="AF14" s="29">
        <f>AF7+AF13</f>
        <v/>
      </c>
      <c r="AG14" s="29">
        <f>AG7+AG13</f>
        <v/>
      </c>
      <c r="AH14" s="29">
        <f>AH7+AH13</f>
        <v/>
      </c>
      <c r="AI14" s="29">
        <f>AI7+AI13</f>
        <v/>
      </c>
      <c r="AJ14" s="29">
        <f>AJ7+AJ13</f>
        <v/>
      </c>
      <c r="AK14" s="29">
        <f>AK7+AK13</f>
        <v/>
      </c>
    </row>
    <row r="15">
      <c r="A15" t="inlineStr">
        <is>
          <t>EBITDA margin %</t>
        </is>
      </c>
      <c r="B15" s="32">
        <f>IF(B5=0,0,B14/B5)</f>
        <v/>
      </c>
      <c r="C15" s="32">
        <f>IF(C5=0,0,C14/C5)</f>
        <v/>
      </c>
      <c r="D15" s="32">
        <f>IF(D5=0,0,D14/D5)</f>
        <v/>
      </c>
      <c r="E15" s="32">
        <f>IF(E5=0,0,E14/E5)</f>
        <v/>
      </c>
      <c r="F15" s="32">
        <f>IF(F5=0,0,F14/F5)</f>
        <v/>
      </c>
      <c r="G15" s="32">
        <f>IF(G5=0,0,G14/G5)</f>
        <v/>
      </c>
      <c r="H15" s="32">
        <f>IF(H5=0,0,H14/H5)</f>
        <v/>
      </c>
      <c r="I15" s="32">
        <f>IF(I5=0,0,I14/I5)</f>
        <v/>
      </c>
      <c r="J15" s="32">
        <f>IF(J5=0,0,J14/J5)</f>
        <v/>
      </c>
      <c r="K15" s="32">
        <f>IF(K5=0,0,K14/K5)</f>
        <v/>
      </c>
      <c r="L15" s="32">
        <f>IF(L5=0,0,L14/L5)</f>
        <v/>
      </c>
      <c r="M15" s="32">
        <f>IF(M5=0,0,M14/M5)</f>
        <v/>
      </c>
      <c r="N15" s="32">
        <f>IF(N5=0,0,N14/N5)</f>
        <v/>
      </c>
      <c r="O15" s="32">
        <f>IF(O5=0,0,O14/O5)</f>
        <v/>
      </c>
      <c r="P15" s="32">
        <f>IF(P5=0,0,P14/P5)</f>
        <v/>
      </c>
      <c r="Q15" s="32">
        <f>IF(Q5=0,0,Q14/Q5)</f>
        <v/>
      </c>
      <c r="R15" s="32">
        <f>IF(R5=0,0,R14/R5)</f>
        <v/>
      </c>
      <c r="S15" s="32">
        <f>IF(S5=0,0,S14/S5)</f>
        <v/>
      </c>
      <c r="T15" s="32">
        <f>IF(T5=0,0,T14/T5)</f>
        <v/>
      </c>
      <c r="U15" s="32">
        <f>IF(U5=0,0,U14/U5)</f>
        <v/>
      </c>
      <c r="V15" s="32">
        <f>IF(V5=0,0,V14/V5)</f>
        <v/>
      </c>
      <c r="W15" s="32">
        <f>IF(W5=0,0,W14/W5)</f>
        <v/>
      </c>
      <c r="X15" s="32">
        <f>IF(X5=0,0,X14/X5)</f>
        <v/>
      </c>
      <c r="Y15" s="32">
        <f>IF(Y5=0,0,Y14/Y5)</f>
        <v/>
      </c>
      <c r="Z15" s="32">
        <f>IF(Z5=0,0,Z14/Z5)</f>
        <v/>
      </c>
      <c r="AA15" s="32">
        <f>IF(AA5=0,0,AA14/AA5)</f>
        <v/>
      </c>
      <c r="AB15" s="32">
        <f>IF(AB5=0,0,AB14/AB5)</f>
        <v/>
      </c>
      <c r="AC15" s="32">
        <f>IF(AC5=0,0,AC14/AC5)</f>
        <v/>
      </c>
      <c r="AD15" s="32">
        <f>IF(AD5=0,0,AD14/AD5)</f>
        <v/>
      </c>
      <c r="AE15" s="32">
        <f>IF(AE5=0,0,AE14/AE5)</f>
        <v/>
      </c>
      <c r="AF15" s="32">
        <f>IF(AF5=0,0,AF14/AF5)</f>
        <v/>
      </c>
      <c r="AG15" s="32">
        <f>IF(AG5=0,0,AG14/AG5)</f>
        <v/>
      </c>
      <c r="AH15" s="32">
        <f>IF(AH5=0,0,AH14/AH5)</f>
        <v/>
      </c>
      <c r="AI15" s="32">
        <f>IF(AI5=0,0,AI14/AI5)</f>
        <v/>
      </c>
      <c r="AJ15" s="32">
        <f>IF(AJ5=0,0,AJ14/AJ5)</f>
        <v/>
      </c>
      <c r="AK15" s="32">
        <f>IF(AK5=0,0,AK14/AK5)</f>
        <v/>
      </c>
    </row>
    <row r="16">
      <c r="A16" t="inlineStr">
        <is>
          <t>D&amp;A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</row>
    <row r="17">
      <c r="A17" t="inlineStr">
        <is>
          <t>EBIT</t>
        </is>
      </c>
      <c r="B17" s="27">
        <f>B14-B16</f>
        <v/>
      </c>
      <c r="C17" s="27">
        <f>C14-C16</f>
        <v/>
      </c>
      <c r="D17" s="27">
        <f>D14-D16</f>
        <v/>
      </c>
      <c r="E17" s="27">
        <f>E14-E16</f>
        <v/>
      </c>
      <c r="F17" s="27">
        <f>F14-F16</f>
        <v/>
      </c>
      <c r="G17" s="27">
        <f>G14-G16</f>
        <v/>
      </c>
      <c r="H17" s="27">
        <f>H14-H16</f>
        <v/>
      </c>
      <c r="I17" s="27">
        <f>I14-I16</f>
        <v/>
      </c>
      <c r="J17" s="27">
        <f>J14-J16</f>
        <v/>
      </c>
      <c r="K17" s="27">
        <f>K14-K16</f>
        <v/>
      </c>
      <c r="L17" s="27">
        <f>L14-L16</f>
        <v/>
      </c>
      <c r="M17" s="27">
        <f>M14-M16</f>
        <v/>
      </c>
      <c r="N17" s="27">
        <f>N14-N16</f>
        <v/>
      </c>
      <c r="O17" s="27">
        <f>O14-O16</f>
        <v/>
      </c>
      <c r="P17" s="27">
        <f>P14-P16</f>
        <v/>
      </c>
      <c r="Q17" s="27">
        <f>Q14-Q16</f>
        <v/>
      </c>
      <c r="R17" s="27">
        <f>R14-R16</f>
        <v/>
      </c>
      <c r="S17" s="27">
        <f>S14-S16</f>
        <v/>
      </c>
      <c r="T17" s="27">
        <f>T14-T16</f>
        <v/>
      </c>
      <c r="U17" s="27">
        <f>U14-U16</f>
        <v/>
      </c>
      <c r="V17" s="27">
        <f>V14-V16</f>
        <v/>
      </c>
      <c r="W17" s="27">
        <f>W14-W16</f>
        <v/>
      </c>
      <c r="X17" s="27">
        <f>X14-X16</f>
        <v/>
      </c>
      <c r="Y17" s="27">
        <f>Y14-Y16</f>
        <v/>
      </c>
      <c r="Z17" s="27">
        <f>Z14-Z16</f>
        <v/>
      </c>
      <c r="AA17" s="27">
        <f>AA14-AA16</f>
        <v/>
      </c>
      <c r="AB17" s="27">
        <f>AB14-AB16</f>
        <v/>
      </c>
      <c r="AC17" s="27">
        <f>AC14-AC16</f>
        <v/>
      </c>
      <c r="AD17" s="27">
        <f>AD14-AD16</f>
        <v/>
      </c>
      <c r="AE17" s="27">
        <f>AE14-AE16</f>
        <v/>
      </c>
      <c r="AF17" s="27">
        <f>AF14-AF16</f>
        <v/>
      </c>
      <c r="AG17" s="27">
        <f>AG14-AG16</f>
        <v/>
      </c>
      <c r="AH17" s="27">
        <f>AH14-AH16</f>
        <v/>
      </c>
      <c r="AI17" s="27">
        <f>AI14-AI16</f>
        <v/>
      </c>
      <c r="AJ17" s="27">
        <f>AJ14-AJ16</f>
        <v/>
      </c>
      <c r="AK17" s="27">
        <f>AK14-AK16</f>
        <v/>
      </c>
    </row>
    <row r="18">
      <c r="A18" t="inlineStr">
        <is>
          <t>Taxes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</row>
    <row r="19">
      <c r="A19" s="28" t="inlineStr">
        <is>
          <t>Net income</t>
        </is>
      </c>
      <c r="B19" s="29">
        <f>B17-B18</f>
        <v/>
      </c>
      <c r="C19" s="29">
        <f>C17-C18</f>
        <v/>
      </c>
      <c r="D19" s="29">
        <f>D17-D18</f>
        <v/>
      </c>
      <c r="E19" s="29">
        <f>E17-E18</f>
        <v/>
      </c>
      <c r="F19" s="29">
        <f>F17-F18</f>
        <v/>
      </c>
      <c r="G19" s="29">
        <f>G17-G18</f>
        <v/>
      </c>
      <c r="H19" s="29">
        <f>H17-H18</f>
        <v/>
      </c>
      <c r="I19" s="29">
        <f>I17-I18</f>
        <v/>
      </c>
      <c r="J19" s="29">
        <f>J17-J18</f>
        <v/>
      </c>
      <c r="K19" s="29">
        <f>K17-K18</f>
        <v/>
      </c>
      <c r="L19" s="29">
        <f>L17-L18</f>
        <v/>
      </c>
      <c r="M19" s="29">
        <f>M17-M18</f>
        <v/>
      </c>
      <c r="N19" s="29">
        <f>N17-N18</f>
        <v/>
      </c>
      <c r="O19" s="29">
        <f>O17-O18</f>
        <v/>
      </c>
      <c r="P19" s="29">
        <f>P17-P18</f>
        <v/>
      </c>
      <c r="Q19" s="29">
        <f>Q17-Q18</f>
        <v/>
      </c>
      <c r="R19" s="29">
        <f>R17-R18</f>
        <v/>
      </c>
      <c r="S19" s="29">
        <f>S17-S18</f>
        <v/>
      </c>
      <c r="T19" s="29">
        <f>T17-T18</f>
        <v/>
      </c>
      <c r="U19" s="29">
        <f>U17-U18</f>
        <v/>
      </c>
      <c r="V19" s="29">
        <f>V17-V18</f>
        <v/>
      </c>
      <c r="W19" s="29">
        <f>W17-W18</f>
        <v/>
      </c>
      <c r="X19" s="29">
        <f>X17-X18</f>
        <v/>
      </c>
      <c r="Y19" s="29">
        <f>Y17-Y18</f>
        <v/>
      </c>
      <c r="Z19" s="29">
        <f>Z17-Z18</f>
        <v/>
      </c>
      <c r="AA19" s="29">
        <f>AA17-AA18</f>
        <v/>
      </c>
      <c r="AB19" s="29">
        <f>AB17-AB18</f>
        <v/>
      </c>
      <c r="AC19" s="29">
        <f>AC17-AC18</f>
        <v/>
      </c>
      <c r="AD19" s="29">
        <f>AD17-AD18</f>
        <v/>
      </c>
      <c r="AE19" s="29">
        <f>AE17-AE18</f>
        <v/>
      </c>
      <c r="AF19" s="29">
        <f>AF17-AF18</f>
        <v/>
      </c>
      <c r="AG19" s="29">
        <f>AG17-AG18</f>
        <v/>
      </c>
      <c r="AH19" s="29">
        <f>AH17-AH18</f>
        <v/>
      </c>
      <c r="AI19" s="29">
        <f>AI17-AI18</f>
        <v/>
      </c>
      <c r="AJ19" s="29">
        <f>AJ17-AJ18</f>
        <v/>
      </c>
      <c r="AK19" s="29">
        <f>AK17-AK18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3"/>
  <sheetViews>
    <sheetView workbookViewId="0">
      <selection activeCell="A1" sqref="A1"/>
    </sheetView>
  </sheetViews>
  <sheetFormatPr baseColWidth="8" defaultRowHeight="15"/>
  <cols>
    <col width="4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>
      <c r="A1" s="7" t="inlineStr">
        <is>
          <t>narve.ai — Cash Flow &amp; Balance Sheet</t>
        </is>
      </c>
    </row>
    <row r="2">
      <c r="A2" s="8" t="inlineStr">
        <is>
          <t>CFO = NI + Δdeferred revenue (annual prepay collected up front). SAFE liability until conversion.</t>
        </is>
      </c>
    </row>
    <row r="4">
      <c r="A4" s="25" t="inlineStr">
        <is>
          <t>($ unless noted)</t>
        </is>
      </c>
      <c r="B4" s="26" t="inlineStr">
        <is>
          <t>M1 Aug-26</t>
        </is>
      </c>
      <c r="C4" s="26" t="inlineStr">
        <is>
          <t>M2 Sep-26</t>
        </is>
      </c>
      <c r="D4" s="26" t="inlineStr">
        <is>
          <t>M3 Oct-26</t>
        </is>
      </c>
      <c r="E4" s="26" t="inlineStr">
        <is>
          <t>M4 Nov-26</t>
        </is>
      </c>
      <c r="F4" s="26" t="inlineStr">
        <is>
          <t>M5 Dec-26</t>
        </is>
      </c>
      <c r="G4" s="26" t="inlineStr">
        <is>
          <t>M6 Jan-27</t>
        </is>
      </c>
      <c r="H4" s="26" t="inlineStr">
        <is>
          <t>M7 Feb-27</t>
        </is>
      </c>
      <c r="I4" s="26" t="inlineStr">
        <is>
          <t>M8 Mar-27</t>
        </is>
      </c>
      <c r="J4" s="26" t="inlineStr">
        <is>
          <t>M9 Apr-27</t>
        </is>
      </c>
      <c r="K4" s="26" t="inlineStr">
        <is>
          <t>M10 May-27</t>
        </is>
      </c>
      <c r="L4" s="26" t="inlineStr">
        <is>
          <t>M11 Jun-27</t>
        </is>
      </c>
      <c r="M4" s="26" t="inlineStr">
        <is>
          <t>M12 Jul-27</t>
        </is>
      </c>
      <c r="N4" s="26" t="inlineStr">
        <is>
          <t>M13 Aug-27</t>
        </is>
      </c>
      <c r="O4" s="26" t="inlineStr">
        <is>
          <t>M14 Sep-27</t>
        </is>
      </c>
      <c r="P4" s="26" t="inlineStr">
        <is>
          <t>M15 Oct-27</t>
        </is>
      </c>
      <c r="Q4" s="26" t="inlineStr">
        <is>
          <t>M16 Nov-27</t>
        </is>
      </c>
      <c r="R4" s="26" t="inlineStr">
        <is>
          <t>M17 Dec-27</t>
        </is>
      </c>
      <c r="S4" s="26" t="inlineStr">
        <is>
          <t>M18 Jan-28</t>
        </is>
      </c>
      <c r="T4" s="26" t="inlineStr">
        <is>
          <t>M19 Feb-28</t>
        </is>
      </c>
      <c r="U4" s="26" t="inlineStr">
        <is>
          <t>M20 Mar-28</t>
        </is>
      </c>
      <c r="V4" s="26" t="inlineStr">
        <is>
          <t>M21 Apr-28</t>
        </is>
      </c>
      <c r="W4" s="26" t="inlineStr">
        <is>
          <t>M22 May-28</t>
        </is>
      </c>
      <c r="X4" s="26" t="inlineStr">
        <is>
          <t>M23 Jun-28</t>
        </is>
      </c>
      <c r="Y4" s="26" t="inlineStr">
        <is>
          <t>M24 Jul-28</t>
        </is>
      </c>
      <c r="Z4" s="26" t="inlineStr">
        <is>
          <t>M25 Aug-28</t>
        </is>
      </c>
      <c r="AA4" s="26" t="inlineStr">
        <is>
          <t>M26 Sep-28</t>
        </is>
      </c>
      <c r="AB4" s="26" t="inlineStr">
        <is>
          <t>M27 Oct-28</t>
        </is>
      </c>
      <c r="AC4" s="26" t="inlineStr">
        <is>
          <t>M28 Nov-28</t>
        </is>
      </c>
      <c r="AD4" s="26" t="inlineStr">
        <is>
          <t>M29 Dec-28</t>
        </is>
      </c>
      <c r="AE4" s="26" t="inlineStr">
        <is>
          <t>M30 Jan-29</t>
        </is>
      </c>
      <c r="AF4" s="26" t="inlineStr">
        <is>
          <t>M31 Feb-29</t>
        </is>
      </c>
      <c r="AG4" s="26" t="inlineStr">
        <is>
          <t>M32 Mar-29</t>
        </is>
      </c>
      <c r="AH4" s="26" t="inlineStr">
        <is>
          <t>M33 Apr-29</t>
        </is>
      </c>
      <c r="AI4" s="26" t="inlineStr">
        <is>
          <t>M34 May-29</t>
        </is>
      </c>
      <c r="AJ4" s="26" t="inlineStr">
        <is>
          <t>M35 Jun-29</t>
        </is>
      </c>
      <c r="AK4" s="26" t="inlineStr">
        <is>
          <t>M36 Jul-29</t>
        </is>
      </c>
    </row>
    <row r="5">
      <c r="A5" s="9" t="inlineStr">
        <is>
          <t>CASH FLOW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>
      <c r="A6" t="inlineStr">
        <is>
          <t>Net income</t>
        </is>
      </c>
      <c r="B6" s="30">
        <f>'Income Statement'!B19</f>
        <v/>
      </c>
      <c r="C6" s="30">
        <f>'Income Statement'!C19</f>
        <v/>
      </c>
      <c r="D6" s="30">
        <f>'Income Statement'!D19</f>
        <v/>
      </c>
      <c r="E6" s="30">
        <f>'Income Statement'!E19</f>
        <v/>
      </c>
      <c r="F6" s="30">
        <f>'Income Statement'!F19</f>
        <v/>
      </c>
      <c r="G6" s="30">
        <f>'Income Statement'!G19</f>
        <v/>
      </c>
      <c r="H6" s="30">
        <f>'Income Statement'!H19</f>
        <v/>
      </c>
      <c r="I6" s="30">
        <f>'Income Statement'!I19</f>
        <v/>
      </c>
      <c r="J6" s="30">
        <f>'Income Statement'!J19</f>
        <v/>
      </c>
      <c r="K6" s="30">
        <f>'Income Statement'!K19</f>
        <v/>
      </c>
      <c r="L6" s="30">
        <f>'Income Statement'!L19</f>
        <v/>
      </c>
      <c r="M6" s="30">
        <f>'Income Statement'!M19</f>
        <v/>
      </c>
      <c r="N6" s="30">
        <f>'Income Statement'!N19</f>
        <v/>
      </c>
      <c r="O6" s="30">
        <f>'Income Statement'!O19</f>
        <v/>
      </c>
      <c r="P6" s="30">
        <f>'Income Statement'!P19</f>
        <v/>
      </c>
      <c r="Q6" s="30">
        <f>'Income Statement'!Q19</f>
        <v/>
      </c>
      <c r="R6" s="30">
        <f>'Income Statement'!R19</f>
        <v/>
      </c>
      <c r="S6" s="30">
        <f>'Income Statement'!S19</f>
        <v/>
      </c>
      <c r="T6" s="30">
        <f>'Income Statement'!T19</f>
        <v/>
      </c>
      <c r="U6" s="30">
        <f>'Income Statement'!U19</f>
        <v/>
      </c>
      <c r="V6" s="30">
        <f>'Income Statement'!V19</f>
        <v/>
      </c>
      <c r="W6" s="30">
        <f>'Income Statement'!W19</f>
        <v/>
      </c>
      <c r="X6" s="30">
        <f>'Income Statement'!X19</f>
        <v/>
      </c>
      <c r="Y6" s="30">
        <f>'Income Statement'!Y19</f>
        <v/>
      </c>
      <c r="Z6" s="30">
        <f>'Income Statement'!Z19</f>
        <v/>
      </c>
      <c r="AA6" s="30">
        <f>'Income Statement'!AA19</f>
        <v/>
      </c>
      <c r="AB6" s="30">
        <f>'Income Statement'!AB19</f>
        <v/>
      </c>
      <c r="AC6" s="30">
        <f>'Income Statement'!AC19</f>
        <v/>
      </c>
      <c r="AD6" s="30">
        <f>'Income Statement'!AD19</f>
        <v/>
      </c>
      <c r="AE6" s="30">
        <f>'Income Statement'!AE19</f>
        <v/>
      </c>
      <c r="AF6" s="30">
        <f>'Income Statement'!AF19</f>
        <v/>
      </c>
      <c r="AG6" s="30">
        <f>'Income Statement'!AG19</f>
        <v/>
      </c>
      <c r="AH6" s="30">
        <f>'Income Statement'!AH19</f>
        <v/>
      </c>
      <c r="AI6" s="30">
        <f>'Income Statement'!AI19</f>
        <v/>
      </c>
      <c r="AJ6" s="30">
        <f>'Income Statement'!AJ19</f>
        <v/>
      </c>
      <c r="AK6" s="30">
        <f>'Income Statement'!AK19</f>
        <v/>
      </c>
    </row>
    <row r="7">
      <c r="A7" t="inlineStr">
        <is>
          <t>Δ Deferred revenue</t>
        </is>
      </c>
      <c r="B7" s="30">
        <f>'Rev Build'!B29</f>
        <v/>
      </c>
      <c r="C7" s="30">
        <f>'Rev Build'!C29-'Rev Build'!B29</f>
        <v/>
      </c>
      <c r="D7" s="30">
        <f>'Rev Build'!D29-'Rev Build'!C29</f>
        <v/>
      </c>
      <c r="E7" s="30">
        <f>'Rev Build'!E29-'Rev Build'!D29</f>
        <v/>
      </c>
      <c r="F7" s="30">
        <f>'Rev Build'!F29-'Rev Build'!E29</f>
        <v/>
      </c>
      <c r="G7" s="30">
        <f>'Rev Build'!G29-'Rev Build'!F29</f>
        <v/>
      </c>
      <c r="H7" s="30">
        <f>'Rev Build'!H29-'Rev Build'!G29</f>
        <v/>
      </c>
      <c r="I7" s="30">
        <f>'Rev Build'!I29-'Rev Build'!H29</f>
        <v/>
      </c>
      <c r="J7" s="30">
        <f>'Rev Build'!J29-'Rev Build'!I29</f>
        <v/>
      </c>
      <c r="K7" s="30">
        <f>'Rev Build'!K29-'Rev Build'!J29</f>
        <v/>
      </c>
      <c r="L7" s="30">
        <f>'Rev Build'!L29-'Rev Build'!K29</f>
        <v/>
      </c>
      <c r="M7" s="30">
        <f>'Rev Build'!M29-'Rev Build'!L29</f>
        <v/>
      </c>
      <c r="N7" s="30">
        <f>'Rev Build'!N29-'Rev Build'!M29</f>
        <v/>
      </c>
      <c r="O7" s="30">
        <f>'Rev Build'!O29-'Rev Build'!N29</f>
        <v/>
      </c>
      <c r="P7" s="30">
        <f>'Rev Build'!P29-'Rev Build'!O29</f>
        <v/>
      </c>
      <c r="Q7" s="30">
        <f>'Rev Build'!Q29-'Rev Build'!P29</f>
        <v/>
      </c>
      <c r="R7" s="30">
        <f>'Rev Build'!R29-'Rev Build'!Q29</f>
        <v/>
      </c>
      <c r="S7" s="30">
        <f>'Rev Build'!S29-'Rev Build'!R29</f>
        <v/>
      </c>
      <c r="T7" s="30">
        <f>'Rev Build'!T29-'Rev Build'!S29</f>
        <v/>
      </c>
      <c r="U7" s="30">
        <f>'Rev Build'!U29-'Rev Build'!T29</f>
        <v/>
      </c>
      <c r="V7" s="30">
        <f>'Rev Build'!V29-'Rev Build'!U29</f>
        <v/>
      </c>
      <c r="W7" s="30">
        <f>'Rev Build'!W29-'Rev Build'!V29</f>
        <v/>
      </c>
      <c r="X7" s="30">
        <f>'Rev Build'!X29-'Rev Build'!W29</f>
        <v/>
      </c>
      <c r="Y7" s="30">
        <f>'Rev Build'!Y29-'Rev Build'!X29</f>
        <v/>
      </c>
      <c r="Z7" s="30">
        <f>'Rev Build'!Z29-'Rev Build'!Y29</f>
        <v/>
      </c>
      <c r="AA7" s="30">
        <f>'Rev Build'!AA29-'Rev Build'!Z29</f>
        <v/>
      </c>
      <c r="AB7" s="30">
        <f>'Rev Build'!AB29-'Rev Build'!AA29</f>
        <v/>
      </c>
      <c r="AC7" s="30">
        <f>'Rev Build'!AC29-'Rev Build'!AB29</f>
        <v/>
      </c>
      <c r="AD7" s="30">
        <f>'Rev Build'!AD29-'Rev Build'!AC29</f>
        <v/>
      </c>
      <c r="AE7" s="30">
        <f>'Rev Build'!AE29-'Rev Build'!AD29</f>
        <v/>
      </c>
      <c r="AF7" s="30">
        <f>'Rev Build'!AF29-'Rev Build'!AE29</f>
        <v/>
      </c>
      <c r="AG7" s="30">
        <f>'Rev Build'!AG29-'Rev Build'!AF29</f>
        <v/>
      </c>
      <c r="AH7" s="30">
        <f>'Rev Build'!AH29-'Rev Build'!AG29</f>
        <v/>
      </c>
      <c r="AI7" s="30">
        <f>'Rev Build'!AI29-'Rev Build'!AH29</f>
        <v/>
      </c>
      <c r="AJ7" s="30">
        <f>'Rev Build'!AJ29-'Rev Build'!AI29</f>
        <v/>
      </c>
      <c r="AK7" s="30">
        <f>'Rev Build'!AK29-'Rev Build'!AJ29</f>
        <v/>
      </c>
    </row>
    <row r="8">
      <c r="A8" s="12" t="inlineStr">
        <is>
          <t>Cash flow from operations</t>
        </is>
      </c>
      <c r="B8" s="17">
        <f>B6+B7</f>
        <v/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  <c r="G8" s="17">
        <f>G6+G7</f>
        <v/>
      </c>
      <c r="H8" s="17">
        <f>H6+H7</f>
        <v/>
      </c>
      <c r="I8" s="17">
        <f>I6+I7</f>
        <v/>
      </c>
      <c r="J8" s="17">
        <f>J6+J7</f>
        <v/>
      </c>
      <c r="K8" s="17">
        <f>K6+K7</f>
        <v/>
      </c>
      <c r="L8" s="17">
        <f>L6+L7</f>
        <v/>
      </c>
      <c r="M8" s="17">
        <f>M6+M7</f>
        <v/>
      </c>
      <c r="N8" s="17">
        <f>N6+N7</f>
        <v/>
      </c>
      <c r="O8" s="17">
        <f>O6+O7</f>
        <v/>
      </c>
      <c r="P8" s="17">
        <f>P6+P7</f>
        <v/>
      </c>
      <c r="Q8" s="17">
        <f>Q6+Q7</f>
        <v/>
      </c>
      <c r="R8" s="17">
        <f>R6+R7</f>
        <v/>
      </c>
      <c r="S8" s="17">
        <f>S6+S7</f>
        <v/>
      </c>
      <c r="T8" s="17">
        <f>T6+T7</f>
        <v/>
      </c>
      <c r="U8" s="17">
        <f>U6+U7</f>
        <v/>
      </c>
      <c r="V8" s="17">
        <f>V6+V7</f>
        <v/>
      </c>
      <c r="W8" s="17">
        <f>W6+W7</f>
        <v/>
      </c>
      <c r="X8" s="17">
        <f>X6+X7</f>
        <v/>
      </c>
      <c r="Y8" s="17">
        <f>Y6+Y7</f>
        <v/>
      </c>
      <c r="Z8" s="17">
        <f>Z6+Z7</f>
        <v/>
      </c>
      <c r="AA8" s="17">
        <f>AA6+AA7</f>
        <v/>
      </c>
      <c r="AB8" s="17">
        <f>AB6+AB7</f>
        <v/>
      </c>
      <c r="AC8" s="17">
        <f>AC6+AC7</f>
        <v/>
      </c>
      <c r="AD8" s="17">
        <f>AD6+AD7</f>
        <v/>
      </c>
      <c r="AE8" s="17">
        <f>AE6+AE7</f>
        <v/>
      </c>
      <c r="AF8" s="17">
        <f>AF6+AF7</f>
        <v/>
      </c>
      <c r="AG8" s="17">
        <f>AG6+AG7</f>
        <v/>
      </c>
      <c r="AH8" s="17">
        <f>AH6+AH7</f>
        <v/>
      </c>
      <c r="AI8" s="17">
        <f>AI6+AI7</f>
        <v/>
      </c>
      <c r="AJ8" s="17">
        <f>AJ6+AJ7</f>
        <v/>
      </c>
      <c r="AK8" s="17">
        <f>AK6+AK7</f>
        <v/>
      </c>
    </row>
    <row r="9">
      <c r="A9" t="inlineStr">
        <is>
          <t>Cash flow from investing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</row>
    <row r="10">
      <c r="A10" t="inlineStr">
        <is>
          <t>SAFE proceeds (financing)</t>
        </is>
      </c>
      <c r="B10" s="27">
        <f>Drivers!$B$68</f>
        <v/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27" t="n">
        <v>0</v>
      </c>
      <c r="Q10" s="27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27" t="n">
        <v>0</v>
      </c>
      <c r="AB10" s="27" t="n">
        <v>0</v>
      </c>
      <c r="AC10" s="27" t="n">
        <v>0</v>
      </c>
      <c r="AD10" s="27" t="n">
        <v>0</v>
      </c>
      <c r="AE10" s="27" t="n">
        <v>0</v>
      </c>
      <c r="AF10" s="27" t="n">
        <v>0</v>
      </c>
      <c r="AG10" s="27" t="n">
        <v>0</v>
      </c>
      <c r="AH10" s="27" t="n">
        <v>0</v>
      </c>
      <c r="AI10" s="27" t="n">
        <v>0</v>
      </c>
      <c r="AJ10" s="27" t="n">
        <v>0</v>
      </c>
      <c r="AK10" s="27" t="n">
        <v>0</v>
      </c>
    </row>
    <row r="11">
      <c r="A11" s="12" t="inlineStr">
        <is>
          <t>Net change in cash</t>
        </is>
      </c>
      <c r="B11" s="17">
        <f>B8+B9+B10</f>
        <v/>
      </c>
      <c r="C11" s="17">
        <f>C8+C9+C10</f>
        <v/>
      </c>
      <c r="D11" s="17">
        <f>D8+D9+D10</f>
        <v/>
      </c>
      <c r="E11" s="17">
        <f>E8+E9+E10</f>
        <v/>
      </c>
      <c r="F11" s="17">
        <f>F8+F9+F10</f>
        <v/>
      </c>
      <c r="G11" s="17">
        <f>G8+G9+G10</f>
        <v/>
      </c>
      <c r="H11" s="17">
        <f>H8+H9+H10</f>
        <v/>
      </c>
      <c r="I11" s="17">
        <f>I8+I9+I10</f>
        <v/>
      </c>
      <c r="J11" s="17">
        <f>J8+J9+J10</f>
        <v/>
      </c>
      <c r="K11" s="17">
        <f>K8+K9+K10</f>
        <v/>
      </c>
      <c r="L11" s="17">
        <f>L8+L9+L10</f>
        <v/>
      </c>
      <c r="M11" s="17">
        <f>M8+M9+M10</f>
        <v/>
      </c>
      <c r="N11" s="17">
        <f>N8+N9+N10</f>
        <v/>
      </c>
      <c r="O11" s="17">
        <f>O8+O9+O10</f>
        <v/>
      </c>
      <c r="P11" s="17">
        <f>P8+P9+P10</f>
        <v/>
      </c>
      <c r="Q11" s="17">
        <f>Q8+Q9+Q10</f>
        <v/>
      </c>
      <c r="R11" s="17">
        <f>R8+R9+R10</f>
        <v/>
      </c>
      <c r="S11" s="17">
        <f>S8+S9+S10</f>
        <v/>
      </c>
      <c r="T11" s="17">
        <f>T8+T9+T10</f>
        <v/>
      </c>
      <c r="U11" s="17">
        <f>U8+U9+U10</f>
        <v/>
      </c>
      <c r="V11" s="17">
        <f>V8+V9+V10</f>
        <v/>
      </c>
      <c r="W11" s="17">
        <f>W8+W9+W10</f>
        <v/>
      </c>
      <c r="X11" s="17">
        <f>X8+X9+X10</f>
        <v/>
      </c>
      <c r="Y11" s="17">
        <f>Y8+Y9+Y10</f>
        <v/>
      </c>
      <c r="Z11" s="17">
        <f>Z8+Z9+Z10</f>
        <v/>
      </c>
      <c r="AA11" s="17">
        <f>AA8+AA9+AA10</f>
        <v/>
      </c>
      <c r="AB11" s="17">
        <f>AB8+AB9+AB10</f>
        <v/>
      </c>
      <c r="AC11" s="17">
        <f>AC8+AC9+AC10</f>
        <v/>
      </c>
      <c r="AD11" s="17">
        <f>AD8+AD9+AD10</f>
        <v/>
      </c>
      <c r="AE11" s="17">
        <f>AE8+AE9+AE10</f>
        <v/>
      </c>
      <c r="AF11" s="17">
        <f>AF8+AF9+AF10</f>
        <v/>
      </c>
      <c r="AG11" s="17">
        <f>AG8+AG9+AG10</f>
        <v/>
      </c>
      <c r="AH11" s="17">
        <f>AH8+AH9+AH10</f>
        <v/>
      </c>
      <c r="AI11" s="17">
        <f>AI8+AI9+AI10</f>
        <v/>
      </c>
      <c r="AJ11" s="17">
        <f>AJ8+AJ9+AJ10</f>
        <v/>
      </c>
      <c r="AK11" s="17">
        <f>AK8+AK9+AK10</f>
        <v/>
      </c>
    </row>
    <row r="12">
      <c r="A12" t="inlineStr">
        <is>
          <t>Beginning cash</t>
        </is>
      </c>
      <c r="B12" s="27" t="n">
        <v>0</v>
      </c>
      <c r="C12" s="27">
        <f>B13</f>
        <v/>
      </c>
      <c r="D12" s="27">
        <f>C13</f>
        <v/>
      </c>
      <c r="E12" s="27">
        <f>D13</f>
        <v/>
      </c>
      <c r="F12" s="27">
        <f>E13</f>
        <v/>
      </c>
      <c r="G12" s="27">
        <f>F13</f>
        <v/>
      </c>
      <c r="H12" s="27">
        <f>G13</f>
        <v/>
      </c>
      <c r="I12" s="27">
        <f>H13</f>
        <v/>
      </c>
      <c r="J12" s="27">
        <f>I13</f>
        <v/>
      </c>
      <c r="K12" s="27">
        <f>J13</f>
        <v/>
      </c>
      <c r="L12" s="27">
        <f>K13</f>
        <v/>
      </c>
      <c r="M12" s="27">
        <f>L13</f>
        <v/>
      </c>
      <c r="N12" s="27">
        <f>M13</f>
        <v/>
      </c>
      <c r="O12" s="27">
        <f>N13</f>
        <v/>
      </c>
      <c r="P12" s="27">
        <f>O13</f>
        <v/>
      </c>
      <c r="Q12" s="27">
        <f>P13</f>
        <v/>
      </c>
      <c r="R12" s="27">
        <f>Q13</f>
        <v/>
      </c>
      <c r="S12" s="27">
        <f>R13</f>
        <v/>
      </c>
      <c r="T12" s="27">
        <f>S13</f>
        <v/>
      </c>
      <c r="U12" s="27">
        <f>T13</f>
        <v/>
      </c>
      <c r="V12" s="27">
        <f>U13</f>
        <v/>
      </c>
      <c r="W12" s="27">
        <f>V13</f>
        <v/>
      </c>
      <c r="X12" s="27">
        <f>W13</f>
        <v/>
      </c>
      <c r="Y12" s="27">
        <f>X13</f>
        <v/>
      </c>
      <c r="Z12" s="27">
        <f>Y13</f>
        <v/>
      </c>
      <c r="AA12" s="27">
        <f>Z13</f>
        <v/>
      </c>
      <c r="AB12" s="27">
        <f>AA13</f>
        <v/>
      </c>
      <c r="AC12" s="27">
        <f>AB13</f>
        <v/>
      </c>
      <c r="AD12" s="27">
        <f>AC13</f>
        <v/>
      </c>
      <c r="AE12" s="27">
        <f>AD13</f>
        <v/>
      </c>
      <c r="AF12" s="27">
        <f>AE13</f>
        <v/>
      </c>
      <c r="AG12" s="27">
        <f>AF13</f>
        <v/>
      </c>
      <c r="AH12" s="27">
        <f>AG13</f>
        <v/>
      </c>
      <c r="AI12" s="27">
        <f>AH13</f>
        <v/>
      </c>
      <c r="AJ12" s="27">
        <f>AI13</f>
        <v/>
      </c>
      <c r="AK12" s="27">
        <f>AJ13</f>
        <v/>
      </c>
    </row>
    <row r="13">
      <c r="A13" s="28" t="inlineStr">
        <is>
          <t>Ending cash</t>
        </is>
      </c>
      <c r="B13" s="29">
        <f>B12+B11</f>
        <v/>
      </c>
      <c r="C13" s="29">
        <f>C12+C11</f>
        <v/>
      </c>
      <c r="D13" s="29">
        <f>D12+D11</f>
        <v/>
      </c>
      <c r="E13" s="29">
        <f>E12+E11</f>
        <v/>
      </c>
      <c r="F13" s="29">
        <f>F12+F11</f>
        <v/>
      </c>
      <c r="G13" s="29">
        <f>G12+G11</f>
        <v/>
      </c>
      <c r="H13" s="29">
        <f>H12+H11</f>
        <v/>
      </c>
      <c r="I13" s="29">
        <f>I12+I11</f>
        <v/>
      </c>
      <c r="J13" s="29">
        <f>J12+J11</f>
        <v/>
      </c>
      <c r="K13" s="29">
        <f>K12+K11</f>
        <v/>
      </c>
      <c r="L13" s="29">
        <f>L12+L11</f>
        <v/>
      </c>
      <c r="M13" s="29">
        <f>M12+M11</f>
        <v/>
      </c>
      <c r="N13" s="29">
        <f>N12+N11</f>
        <v/>
      </c>
      <c r="O13" s="29">
        <f>O12+O11</f>
        <v/>
      </c>
      <c r="P13" s="29">
        <f>P12+P11</f>
        <v/>
      </c>
      <c r="Q13" s="29">
        <f>Q12+Q11</f>
        <v/>
      </c>
      <c r="R13" s="29">
        <f>R12+R11</f>
        <v/>
      </c>
      <c r="S13" s="29">
        <f>S12+S11</f>
        <v/>
      </c>
      <c r="T13" s="29">
        <f>T12+T11</f>
        <v/>
      </c>
      <c r="U13" s="29">
        <f>U12+U11</f>
        <v/>
      </c>
      <c r="V13" s="29">
        <f>V12+V11</f>
        <v/>
      </c>
      <c r="W13" s="29">
        <f>W12+W11</f>
        <v/>
      </c>
      <c r="X13" s="29">
        <f>X12+X11</f>
        <v/>
      </c>
      <c r="Y13" s="29">
        <f>Y12+Y11</f>
        <v/>
      </c>
      <c r="Z13" s="29">
        <f>Z12+Z11</f>
        <v/>
      </c>
      <c r="AA13" s="29">
        <f>AA12+AA11</f>
        <v/>
      </c>
      <c r="AB13" s="29">
        <f>AB12+AB11</f>
        <v/>
      </c>
      <c r="AC13" s="29">
        <f>AC12+AC11</f>
        <v/>
      </c>
      <c r="AD13" s="29">
        <f>AD12+AD11</f>
        <v/>
      </c>
      <c r="AE13" s="29">
        <f>AE12+AE11</f>
        <v/>
      </c>
      <c r="AF13" s="29">
        <f>AF12+AF11</f>
        <v/>
      </c>
      <c r="AG13" s="29">
        <f>AG12+AG11</f>
        <v/>
      </c>
      <c r="AH13" s="29">
        <f>AH12+AH11</f>
        <v/>
      </c>
      <c r="AI13" s="29">
        <f>AI12+AI11</f>
        <v/>
      </c>
      <c r="AJ13" s="29">
        <f>AJ12+AJ11</f>
        <v/>
      </c>
      <c r="AK13" s="29">
        <f>AK12+AK11</f>
        <v/>
      </c>
    </row>
    <row r="14">
      <c r="A14" s="9" t="inlineStr">
        <is>
          <t>BALANCE SHEET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t="inlineStr">
        <is>
          <t>Cash &amp; equivalents</t>
        </is>
      </c>
      <c r="B15" s="27">
        <f>B13</f>
        <v/>
      </c>
      <c r="C15" s="27">
        <f>C13</f>
        <v/>
      </c>
      <c r="D15" s="27">
        <f>D13</f>
        <v/>
      </c>
      <c r="E15" s="27">
        <f>E13</f>
        <v/>
      </c>
      <c r="F15" s="27">
        <f>F13</f>
        <v/>
      </c>
      <c r="G15" s="27">
        <f>G13</f>
        <v/>
      </c>
      <c r="H15" s="27">
        <f>H13</f>
        <v/>
      </c>
      <c r="I15" s="27">
        <f>I13</f>
        <v/>
      </c>
      <c r="J15" s="27">
        <f>J13</f>
        <v/>
      </c>
      <c r="K15" s="27">
        <f>K13</f>
        <v/>
      </c>
      <c r="L15" s="27">
        <f>L13</f>
        <v/>
      </c>
      <c r="M15" s="27">
        <f>M13</f>
        <v/>
      </c>
      <c r="N15" s="27">
        <f>N13</f>
        <v/>
      </c>
      <c r="O15" s="27">
        <f>O13</f>
        <v/>
      </c>
      <c r="P15" s="27">
        <f>P13</f>
        <v/>
      </c>
      <c r="Q15" s="27">
        <f>Q13</f>
        <v/>
      </c>
      <c r="R15" s="27">
        <f>R13</f>
        <v/>
      </c>
      <c r="S15" s="27">
        <f>S13</f>
        <v/>
      </c>
      <c r="T15" s="27">
        <f>T13</f>
        <v/>
      </c>
      <c r="U15" s="27">
        <f>U13</f>
        <v/>
      </c>
      <c r="V15" s="27">
        <f>V13</f>
        <v/>
      </c>
      <c r="W15" s="27">
        <f>W13</f>
        <v/>
      </c>
      <c r="X15" s="27">
        <f>X13</f>
        <v/>
      </c>
      <c r="Y15" s="27">
        <f>Y13</f>
        <v/>
      </c>
      <c r="Z15" s="27">
        <f>Z13</f>
        <v/>
      </c>
      <c r="AA15" s="27">
        <f>AA13</f>
        <v/>
      </c>
      <c r="AB15" s="27">
        <f>AB13</f>
        <v/>
      </c>
      <c r="AC15" s="27">
        <f>AC13</f>
        <v/>
      </c>
      <c r="AD15" s="27">
        <f>AD13</f>
        <v/>
      </c>
      <c r="AE15" s="27">
        <f>AE13</f>
        <v/>
      </c>
      <c r="AF15" s="27">
        <f>AF13</f>
        <v/>
      </c>
      <c r="AG15" s="27">
        <f>AG13</f>
        <v/>
      </c>
      <c r="AH15" s="27">
        <f>AH13</f>
        <v/>
      </c>
      <c r="AI15" s="27">
        <f>AI13</f>
        <v/>
      </c>
      <c r="AJ15" s="27">
        <f>AJ13</f>
        <v/>
      </c>
      <c r="AK15" s="27">
        <f>AK13</f>
        <v/>
      </c>
    </row>
    <row r="16">
      <c r="A16" s="12" t="inlineStr">
        <is>
          <t>Total assets</t>
        </is>
      </c>
      <c r="B16" s="17">
        <f>B15</f>
        <v/>
      </c>
      <c r="C16" s="17">
        <f>C15</f>
        <v/>
      </c>
      <c r="D16" s="17">
        <f>D15</f>
        <v/>
      </c>
      <c r="E16" s="17">
        <f>E15</f>
        <v/>
      </c>
      <c r="F16" s="17">
        <f>F15</f>
        <v/>
      </c>
      <c r="G16" s="17">
        <f>G15</f>
        <v/>
      </c>
      <c r="H16" s="17">
        <f>H15</f>
        <v/>
      </c>
      <c r="I16" s="17">
        <f>I15</f>
        <v/>
      </c>
      <c r="J16" s="17">
        <f>J15</f>
        <v/>
      </c>
      <c r="K16" s="17">
        <f>K15</f>
        <v/>
      </c>
      <c r="L16" s="17">
        <f>L15</f>
        <v/>
      </c>
      <c r="M16" s="17">
        <f>M15</f>
        <v/>
      </c>
      <c r="N16" s="17">
        <f>N15</f>
        <v/>
      </c>
      <c r="O16" s="17">
        <f>O15</f>
        <v/>
      </c>
      <c r="P16" s="17">
        <f>P15</f>
        <v/>
      </c>
      <c r="Q16" s="17">
        <f>Q15</f>
        <v/>
      </c>
      <c r="R16" s="17">
        <f>R15</f>
        <v/>
      </c>
      <c r="S16" s="17">
        <f>S15</f>
        <v/>
      </c>
      <c r="T16" s="17">
        <f>T15</f>
        <v/>
      </c>
      <c r="U16" s="17">
        <f>U15</f>
        <v/>
      </c>
      <c r="V16" s="17">
        <f>V15</f>
        <v/>
      </c>
      <c r="W16" s="17">
        <f>W15</f>
        <v/>
      </c>
      <c r="X16" s="17">
        <f>X15</f>
        <v/>
      </c>
      <c r="Y16" s="17">
        <f>Y15</f>
        <v/>
      </c>
      <c r="Z16" s="17">
        <f>Z15</f>
        <v/>
      </c>
      <c r="AA16" s="17">
        <f>AA15</f>
        <v/>
      </c>
      <c r="AB16" s="17">
        <f>AB15</f>
        <v/>
      </c>
      <c r="AC16" s="17">
        <f>AC15</f>
        <v/>
      </c>
      <c r="AD16" s="17">
        <f>AD15</f>
        <v/>
      </c>
      <c r="AE16" s="17">
        <f>AE15</f>
        <v/>
      </c>
      <c r="AF16" s="17">
        <f>AF15</f>
        <v/>
      </c>
      <c r="AG16" s="17">
        <f>AG15</f>
        <v/>
      </c>
      <c r="AH16" s="17">
        <f>AH15</f>
        <v/>
      </c>
      <c r="AI16" s="17">
        <f>AI15</f>
        <v/>
      </c>
      <c r="AJ16" s="17">
        <f>AJ15</f>
        <v/>
      </c>
      <c r="AK16" s="17">
        <f>AK15</f>
        <v/>
      </c>
    </row>
    <row r="17">
      <c r="A17" t="inlineStr">
        <is>
          <t>Deferred revenue</t>
        </is>
      </c>
      <c r="B17" s="30">
        <f>'Rev Build'!B29</f>
        <v/>
      </c>
      <c r="C17" s="30">
        <f>'Rev Build'!C29</f>
        <v/>
      </c>
      <c r="D17" s="30">
        <f>'Rev Build'!D29</f>
        <v/>
      </c>
      <c r="E17" s="30">
        <f>'Rev Build'!E29</f>
        <v/>
      </c>
      <c r="F17" s="30">
        <f>'Rev Build'!F29</f>
        <v/>
      </c>
      <c r="G17" s="30">
        <f>'Rev Build'!G29</f>
        <v/>
      </c>
      <c r="H17" s="30">
        <f>'Rev Build'!H29</f>
        <v/>
      </c>
      <c r="I17" s="30">
        <f>'Rev Build'!I29</f>
        <v/>
      </c>
      <c r="J17" s="30">
        <f>'Rev Build'!J29</f>
        <v/>
      </c>
      <c r="K17" s="30">
        <f>'Rev Build'!K29</f>
        <v/>
      </c>
      <c r="L17" s="30">
        <f>'Rev Build'!L29</f>
        <v/>
      </c>
      <c r="M17" s="30">
        <f>'Rev Build'!M29</f>
        <v/>
      </c>
      <c r="N17" s="30">
        <f>'Rev Build'!N29</f>
        <v/>
      </c>
      <c r="O17" s="30">
        <f>'Rev Build'!O29</f>
        <v/>
      </c>
      <c r="P17" s="30">
        <f>'Rev Build'!P29</f>
        <v/>
      </c>
      <c r="Q17" s="30">
        <f>'Rev Build'!Q29</f>
        <v/>
      </c>
      <c r="R17" s="30">
        <f>'Rev Build'!R29</f>
        <v/>
      </c>
      <c r="S17" s="30">
        <f>'Rev Build'!S29</f>
        <v/>
      </c>
      <c r="T17" s="30">
        <f>'Rev Build'!T29</f>
        <v/>
      </c>
      <c r="U17" s="30">
        <f>'Rev Build'!U29</f>
        <v/>
      </c>
      <c r="V17" s="30">
        <f>'Rev Build'!V29</f>
        <v/>
      </c>
      <c r="W17" s="30">
        <f>'Rev Build'!W29</f>
        <v/>
      </c>
      <c r="X17" s="30">
        <f>'Rev Build'!X29</f>
        <v/>
      </c>
      <c r="Y17" s="30">
        <f>'Rev Build'!Y29</f>
        <v/>
      </c>
      <c r="Z17" s="30">
        <f>'Rev Build'!Z29</f>
        <v/>
      </c>
      <c r="AA17" s="30">
        <f>'Rev Build'!AA29</f>
        <v/>
      </c>
      <c r="AB17" s="30">
        <f>'Rev Build'!AB29</f>
        <v/>
      </c>
      <c r="AC17" s="30">
        <f>'Rev Build'!AC29</f>
        <v/>
      </c>
      <c r="AD17" s="30">
        <f>'Rev Build'!AD29</f>
        <v/>
      </c>
      <c r="AE17" s="30">
        <f>'Rev Build'!AE29</f>
        <v/>
      </c>
      <c r="AF17" s="30">
        <f>'Rev Build'!AF29</f>
        <v/>
      </c>
      <c r="AG17" s="30">
        <f>'Rev Build'!AG29</f>
        <v/>
      </c>
      <c r="AH17" s="30">
        <f>'Rev Build'!AH29</f>
        <v/>
      </c>
      <c r="AI17" s="30">
        <f>'Rev Build'!AI29</f>
        <v/>
      </c>
      <c r="AJ17" s="30">
        <f>'Rev Build'!AJ29</f>
        <v/>
      </c>
      <c r="AK17" s="30">
        <f>'Rev Build'!AK29</f>
        <v/>
      </c>
    </row>
    <row r="18">
      <c r="A18" t="inlineStr">
        <is>
          <t>SAFE (convertible instrument)</t>
        </is>
      </c>
      <c r="B18" s="27">
        <f>Drivers!$B$68</f>
        <v/>
      </c>
      <c r="C18" s="27">
        <f>Drivers!$B$68</f>
        <v/>
      </c>
      <c r="D18" s="27">
        <f>Drivers!$B$68</f>
        <v/>
      </c>
      <c r="E18" s="27">
        <f>Drivers!$B$68</f>
        <v/>
      </c>
      <c r="F18" s="27">
        <f>Drivers!$B$68</f>
        <v/>
      </c>
      <c r="G18" s="27">
        <f>Drivers!$B$68</f>
        <v/>
      </c>
      <c r="H18" s="27">
        <f>Drivers!$B$68</f>
        <v/>
      </c>
      <c r="I18" s="27">
        <f>Drivers!$B$68</f>
        <v/>
      </c>
      <c r="J18" s="27">
        <f>Drivers!$B$68</f>
        <v/>
      </c>
      <c r="K18" s="27">
        <f>Drivers!$B$68</f>
        <v/>
      </c>
      <c r="L18" s="27">
        <f>Drivers!$B$68</f>
        <v/>
      </c>
      <c r="M18" s="27">
        <f>Drivers!$B$68</f>
        <v/>
      </c>
      <c r="N18" s="27">
        <f>Drivers!$B$68</f>
        <v/>
      </c>
      <c r="O18" s="27">
        <f>Drivers!$B$68</f>
        <v/>
      </c>
      <c r="P18" s="27">
        <f>Drivers!$B$68</f>
        <v/>
      </c>
      <c r="Q18" s="27">
        <f>Drivers!$B$68</f>
        <v/>
      </c>
      <c r="R18" s="27">
        <f>Drivers!$B$68</f>
        <v/>
      </c>
      <c r="S18" s="27">
        <f>Drivers!$B$68</f>
        <v/>
      </c>
      <c r="T18" s="27">
        <f>Drivers!$B$68</f>
        <v/>
      </c>
      <c r="U18" s="27">
        <f>Drivers!$B$68</f>
        <v/>
      </c>
      <c r="V18" s="27">
        <f>Drivers!$B$68</f>
        <v/>
      </c>
      <c r="W18" s="27">
        <f>Drivers!$B$68</f>
        <v/>
      </c>
      <c r="X18" s="27">
        <f>Drivers!$B$68</f>
        <v/>
      </c>
      <c r="Y18" s="27">
        <f>Drivers!$B$68</f>
        <v/>
      </c>
      <c r="Z18" s="27">
        <f>Drivers!$B$68</f>
        <v/>
      </c>
      <c r="AA18" s="27">
        <f>Drivers!$B$68</f>
        <v/>
      </c>
      <c r="AB18" s="27">
        <f>Drivers!$B$68</f>
        <v/>
      </c>
      <c r="AC18" s="27">
        <f>Drivers!$B$68</f>
        <v/>
      </c>
      <c r="AD18" s="27">
        <f>Drivers!$B$68</f>
        <v/>
      </c>
      <c r="AE18" s="27">
        <f>Drivers!$B$68</f>
        <v/>
      </c>
      <c r="AF18" s="27">
        <f>Drivers!$B$68</f>
        <v/>
      </c>
      <c r="AG18" s="27">
        <f>Drivers!$B$68</f>
        <v/>
      </c>
      <c r="AH18" s="27">
        <f>Drivers!$B$68</f>
        <v/>
      </c>
      <c r="AI18" s="27">
        <f>Drivers!$B$68</f>
        <v/>
      </c>
      <c r="AJ18" s="27">
        <f>Drivers!$B$68</f>
        <v/>
      </c>
      <c r="AK18" s="27">
        <f>Drivers!$B$68</f>
        <v/>
      </c>
    </row>
    <row r="19">
      <c r="A19" s="12" t="inlineStr">
        <is>
          <t>Total liabilities</t>
        </is>
      </c>
      <c r="B19" s="17">
        <f>B17+B18</f>
        <v/>
      </c>
      <c r="C19" s="17">
        <f>C17+C18</f>
        <v/>
      </c>
      <c r="D19" s="17">
        <f>D17+D18</f>
        <v/>
      </c>
      <c r="E19" s="17">
        <f>E17+E18</f>
        <v/>
      </c>
      <c r="F19" s="17">
        <f>F17+F18</f>
        <v/>
      </c>
      <c r="G19" s="17">
        <f>G17+G18</f>
        <v/>
      </c>
      <c r="H19" s="17">
        <f>H17+H18</f>
        <v/>
      </c>
      <c r="I19" s="17">
        <f>I17+I18</f>
        <v/>
      </c>
      <c r="J19" s="17">
        <f>J17+J18</f>
        <v/>
      </c>
      <c r="K19" s="17">
        <f>K17+K18</f>
        <v/>
      </c>
      <c r="L19" s="17">
        <f>L17+L18</f>
        <v/>
      </c>
      <c r="M19" s="17">
        <f>M17+M18</f>
        <v/>
      </c>
      <c r="N19" s="17">
        <f>N17+N18</f>
        <v/>
      </c>
      <c r="O19" s="17">
        <f>O17+O18</f>
        <v/>
      </c>
      <c r="P19" s="17">
        <f>P17+P18</f>
        <v/>
      </c>
      <c r="Q19" s="17">
        <f>Q17+Q18</f>
        <v/>
      </c>
      <c r="R19" s="17">
        <f>R17+R18</f>
        <v/>
      </c>
      <c r="S19" s="17">
        <f>S17+S18</f>
        <v/>
      </c>
      <c r="T19" s="17">
        <f>T17+T18</f>
        <v/>
      </c>
      <c r="U19" s="17">
        <f>U17+U18</f>
        <v/>
      </c>
      <c r="V19" s="17">
        <f>V17+V18</f>
        <v/>
      </c>
      <c r="W19" s="17">
        <f>W17+W18</f>
        <v/>
      </c>
      <c r="X19" s="17">
        <f>X17+X18</f>
        <v/>
      </c>
      <c r="Y19" s="17">
        <f>Y17+Y18</f>
        <v/>
      </c>
      <c r="Z19" s="17">
        <f>Z17+Z18</f>
        <v/>
      </c>
      <c r="AA19" s="17">
        <f>AA17+AA18</f>
        <v/>
      </c>
      <c r="AB19" s="17">
        <f>AB17+AB18</f>
        <v/>
      </c>
      <c r="AC19" s="17">
        <f>AC17+AC18</f>
        <v/>
      </c>
      <c r="AD19" s="17">
        <f>AD17+AD18</f>
        <v/>
      </c>
      <c r="AE19" s="17">
        <f>AE17+AE18</f>
        <v/>
      </c>
      <c r="AF19" s="17">
        <f>AF17+AF18</f>
        <v/>
      </c>
      <c r="AG19" s="17">
        <f>AG17+AG18</f>
        <v/>
      </c>
      <c r="AH19" s="17">
        <f>AH17+AH18</f>
        <v/>
      </c>
      <c r="AI19" s="17">
        <f>AI17+AI18</f>
        <v/>
      </c>
      <c r="AJ19" s="17">
        <f>AJ17+AJ18</f>
        <v/>
      </c>
      <c r="AK19" s="17">
        <f>AK17+AK18</f>
        <v/>
      </c>
    </row>
    <row r="20">
      <c r="A20" t="inlineStr">
        <is>
          <t>Retained earnings (deficit)</t>
        </is>
      </c>
      <c r="B20" s="27">
        <f>B6</f>
        <v/>
      </c>
      <c r="C20" s="27">
        <f>B20+C6</f>
        <v/>
      </c>
      <c r="D20" s="27">
        <f>C20+D6</f>
        <v/>
      </c>
      <c r="E20" s="27">
        <f>D20+E6</f>
        <v/>
      </c>
      <c r="F20" s="27">
        <f>E20+F6</f>
        <v/>
      </c>
      <c r="G20" s="27">
        <f>F20+G6</f>
        <v/>
      </c>
      <c r="H20" s="27">
        <f>G20+H6</f>
        <v/>
      </c>
      <c r="I20" s="27">
        <f>H20+I6</f>
        <v/>
      </c>
      <c r="J20" s="27">
        <f>I20+J6</f>
        <v/>
      </c>
      <c r="K20" s="27">
        <f>J20+K6</f>
        <v/>
      </c>
      <c r="L20" s="27">
        <f>K20+L6</f>
        <v/>
      </c>
      <c r="M20" s="27">
        <f>L20+M6</f>
        <v/>
      </c>
      <c r="N20" s="27">
        <f>M20+N6</f>
        <v/>
      </c>
      <c r="O20" s="27">
        <f>N20+O6</f>
        <v/>
      </c>
      <c r="P20" s="27">
        <f>O20+P6</f>
        <v/>
      </c>
      <c r="Q20" s="27">
        <f>P20+Q6</f>
        <v/>
      </c>
      <c r="R20" s="27">
        <f>Q20+R6</f>
        <v/>
      </c>
      <c r="S20" s="27">
        <f>R20+S6</f>
        <v/>
      </c>
      <c r="T20" s="27">
        <f>S20+T6</f>
        <v/>
      </c>
      <c r="U20" s="27">
        <f>T20+U6</f>
        <v/>
      </c>
      <c r="V20" s="27">
        <f>U20+V6</f>
        <v/>
      </c>
      <c r="W20" s="27">
        <f>V20+W6</f>
        <v/>
      </c>
      <c r="X20" s="27">
        <f>W20+X6</f>
        <v/>
      </c>
      <c r="Y20" s="27">
        <f>X20+Y6</f>
        <v/>
      </c>
      <c r="Z20" s="27">
        <f>Y20+Z6</f>
        <v/>
      </c>
      <c r="AA20" s="27">
        <f>Z20+AA6</f>
        <v/>
      </c>
      <c r="AB20" s="27">
        <f>AA20+AB6</f>
        <v/>
      </c>
      <c r="AC20" s="27">
        <f>AB20+AC6</f>
        <v/>
      </c>
      <c r="AD20" s="27">
        <f>AC20+AD6</f>
        <v/>
      </c>
      <c r="AE20" s="27">
        <f>AD20+AE6</f>
        <v/>
      </c>
      <c r="AF20" s="27">
        <f>AE20+AF6</f>
        <v/>
      </c>
      <c r="AG20" s="27">
        <f>AF20+AG6</f>
        <v/>
      </c>
      <c r="AH20" s="27">
        <f>AG20+AH6</f>
        <v/>
      </c>
      <c r="AI20" s="27">
        <f>AH20+AI6</f>
        <v/>
      </c>
      <c r="AJ20" s="27">
        <f>AI20+AJ6</f>
        <v/>
      </c>
      <c r="AK20" s="27">
        <f>AJ20+AK6</f>
        <v/>
      </c>
    </row>
    <row r="21">
      <c r="A21" s="12" t="inlineStr">
        <is>
          <t>Total equity</t>
        </is>
      </c>
      <c r="B21" s="17">
        <f>B20</f>
        <v/>
      </c>
      <c r="C21" s="17">
        <f>C20</f>
        <v/>
      </c>
      <c r="D21" s="17">
        <f>D20</f>
        <v/>
      </c>
      <c r="E21" s="17">
        <f>E20</f>
        <v/>
      </c>
      <c r="F21" s="17">
        <f>F20</f>
        <v/>
      </c>
      <c r="G21" s="17">
        <f>G20</f>
        <v/>
      </c>
      <c r="H21" s="17">
        <f>H20</f>
        <v/>
      </c>
      <c r="I21" s="17">
        <f>I20</f>
        <v/>
      </c>
      <c r="J21" s="17">
        <f>J20</f>
        <v/>
      </c>
      <c r="K21" s="17">
        <f>K20</f>
        <v/>
      </c>
      <c r="L21" s="17">
        <f>L20</f>
        <v/>
      </c>
      <c r="M21" s="17">
        <f>M20</f>
        <v/>
      </c>
      <c r="N21" s="17">
        <f>N20</f>
        <v/>
      </c>
      <c r="O21" s="17">
        <f>O20</f>
        <v/>
      </c>
      <c r="P21" s="17">
        <f>P20</f>
        <v/>
      </c>
      <c r="Q21" s="17">
        <f>Q20</f>
        <v/>
      </c>
      <c r="R21" s="17">
        <f>R20</f>
        <v/>
      </c>
      <c r="S21" s="17">
        <f>S20</f>
        <v/>
      </c>
      <c r="T21" s="17">
        <f>T20</f>
        <v/>
      </c>
      <c r="U21" s="17">
        <f>U20</f>
        <v/>
      </c>
      <c r="V21" s="17">
        <f>V20</f>
        <v/>
      </c>
      <c r="W21" s="17">
        <f>W20</f>
        <v/>
      </c>
      <c r="X21" s="17">
        <f>X20</f>
        <v/>
      </c>
      <c r="Y21" s="17">
        <f>Y20</f>
        <v/>
      </c>
      <c r="Z21" s="17">
        <f>Z20</f>
        <v/>
      </c>
      <c r="AA21" s="17">
        <f>AA20</f>
        <v/>
      </c>
      <c r="AB21" s="17">
        <f>AB20</f>
        <v/>
      </c>
      <c r="AC21" s="17">
        <f>AC20</f>
        <v/>
      </c>
      <c r="AD21" s="17">
        <f>AD20</f>
        <v/>
      </c>
      <c r="AE21" s="17">
        <f>AE20</f>
        <v/>
      </c>
      <c r="AF21" s="17">
        <f>AF20</f>
        <v/>
      </c>
      <c r="AG21" s="17">
        <f>AG20</f>
        <v/>
      </c>
      <c r="AH21" s="17">
        <f>AH20</f>
        <v/>
      </c>
      <c r="AI21" s="17">
        <f>AI20</f>
        <v/>
      </c>
      <c r="AJ21" s="17">
        <f>AJ20</f>
        <v/>
      </c>
      <c r="AK21" s="17">
        <f>AK20</f>
        <v/>
      </c>
    </row>
    <row r="22">
      <c r="A22" s="12" t="inlineStr">
        <is>
          <t>Liabilities + equity</t>
        </is>
      </c>
      <c r="B22" s="17">
        <f>B19+B21</f>
        <v/>
      </c>
      <c r="C22" s="17">
        <f>C19+C21</f>
        <v/>
      </c>
      <c r="D22" s="17">
        <f>D19+D21</f>
        <v/>
      </c>
      <c r="E22" s="17">
        <f>E19+E21</f>
        <v/>
      </c>
      <c r="F22" s="17">
        <f>F19+F21</f>
        <v/>
      </c>
      <c r="G22" s="17">
        <f>G19+G21</f>
        <v/>
      </c>
      <c r="H22" s="17">
        <f>H19+H21</f>
        <v/>
      </c>
      <c r="I22" s="17">
        <f>I19+I21</f>
        <v/>
      </c>
      <c r="J22" s="17">
        <f>J19+J21</f>
        <v/>
      </c>
      <c r="K22" s="17">
        <f>K19+K21</f>
        <v/>
      </c>
      <c r="L22" s="17">
        <f>L19+L21</f>
        <v/>
      </c>
      <c r="M22" s="17">
        <f>M19+M21</f>
        <v/>
      </c>
      <c r="N22" s="17">
        <f>N19+N21</f>
        <v/>
      </c>
      <c r="O22" s="17">
        <f>O19+O21</f>
        <v/>
      </c>
      <c r="P22" s="17">
        <f>P19+P21</f>
        <v/>
      </c>
      <c r="Q22" s="17">
        <f>Q19+Q21</f>
        <v/>
      </c>
      <c r="R22" s="17">
        <f>R19+R21</f>
        <v/>
      </c>
      <c r="S22" s="17">
        <f>S19+S21</f>
        <v/>
      </c>
      <c r="T22" s="17">
        <f>T19+T21</f>
        <v/>
      </c>
      <c r="U22" s="17">
        <f>U19+U21</f>
        <v/>
      </c>
      <c r="V22" s="17">
        <f>V19+V21</f>
        <v/>
      </c>
      <c r="W22" s="17">
        <f>W19+W21</f>
        <v/>
      </c>
      <c r="X22" s="17">
        <f>X19+X21</f>
        <v/>
      </c>
      <c r="Y22" s="17">
        <f>Y19+Y21</f>
        <v/>
      </c>
      <c r="Z22" s="17">
        <f>Z19+Z21</f>
        <v/>
      </c>
      <c r="AA22" s="17">
        <f>AA19+AA21</f>
        <v/>
      </c>
      <c r="AB22" s="17">
        <f>AB19+AB21</f>
        <v/>
      </c>
      <c r="AC22" s="17">
        <f>AC19+AC21</f>
        <v/>
      </c>
      <c r="AD22" s="17">
        <f>AD19+AD21</f>
        <v/>
      </c>
      <c r="AE22" s="17">
        <f>AE19+AE21</f>
        <v/>
      </c>
      <c r="AF22" s="17">
        <f>AF19+AF21</f>
        <v/>
      </c>
      <c r="AG22" s="17">
        <f>AG19+AG21</f>
        <v/>
      </c>
      <c r="AH22" s="17">
        <f>AH19+AH21</f>
        <v/>
      </c>
      <c r="AI22" s="17">
        <f>AI19+AI21</f>
        <v/>
      </c>
      <c r="AJ22" s="17">
        <f>AJ19+AJ21</f>
        <v/>
      </c>
      <c r="AK22" s="17">
        <f>AK19+AK21</f>
        <v/>
      </c>
    </row>
    <row r="23">
      <c r="A23" s="33" t="inlineStr">
        <is>
          <t>CHECK: assets − (L+E) = 0</t>
        </is>
      </c>
      <c r="B23" s="34">
        <f>B16-B22</f>
        <v/>
      </c>
      <c r="C23" s="34">
        <f>C16-C22</f>
        <v/>
      </c>
      <c r="D23" s="34">
        <f>D16-D22</f>
        <v/>
      </c>
      <c r="E23" s="34">
        <f>E16-E22</f>
        <v/>
      </c>
      <c r="F23" s="34">
        <f>F16-F22</f>
        <v/>
      </c>
      <c r="G23" s="34">
        <f>G16-G22</f>
        <v/>
      </c>
      <c r="H23" s="34">
        <f>H16-H22</f>
        <v/>
      </c>
      <c r="I23" s="34">
        <f>I16-I22</f>
        <v/>
      </c>
      <c r="J23" s="34">
        <f>J16-J22</f>
        <v/>
      </c>
      <c r="K23" s="34">
        <f>K16-K22</f>
        <v/>
      </c>
      <c r="L23" s="34">
        <f>L16-L22</f>
        <v/>
      </c>
      <c r="M23" s="34">
        <f>M16-M22</f>
        <v/>
      </c>
      <c r="N23" s="34">
        <f>N16-N22</f>
        <v/>
      </c>
      <c r="O23" s="34">
        <f>O16-O22</f>
        <v/>
      </c>
      <c r="P23" s="34">
        <f>P16-P22</f>
        <v/>
      </c>
      <c r="Q23" s="34">
        <f>Q16-Q22</f>
        <v/>
      </c>
      <c r="R23" s="34">
        <f>R16-R22</f>
        <v/>
      </c>
      <c r="S23" s="34">
        <f>S16-S22</f>
        <v/>
      </c>
      <c r="T23" s="34">
        <f>T16-T22</f>
        <v/>
      </c>
      <c r="U23" s="34">
        <f>U16-U22</f>
        <v/>
      </c>
      <c r="V23" s="34">
        <f>V16-V22</f>
        <v/>
      </c>
      <c r="W23" s="34">
        <f>W16-W22</f>
        <v/>
      </c>
      <c r="X23" s="34">
        <f>X16-X22</f>
        <v/>
      </c>
      <c r="Y23" s="34">
        <f>Y16-Y22</f>
        <v/>
      </c>
      <c r="Z23" s="34">
        <f>Z16-Z22</f>
        <v/>
      </c>
      <c r="AA23" s="34">
        <f>AA16-AA22</f>
        <v/>
      </c>
      <c r="AB23" s="34">
        <f>AB16-AB22</f>
        <v/>
      </c>
      <c r="AC23" s="34">
        <f>AC16-AC22</f>
        <v/>
      </c>
      <c r="AD23" s="34">
        <f>AD16-AD22</f>
        <v/>
      </c>
      <c r="AE23" s="34">
        <f>AE16-AE22</f>
        <v/>
      </c>
      <c r="AF23" s="34">
        <f>AF16-AF22</f>
        <v/>
      </c>
      <c r="AG23" s="34">
        <f>AG16-AG22</f>
        <v/>
      </c>
      <c r="AH23" s="34">
        <f>AH16-AH22</f>
        <v/>
      </c>
      <c r="AI23" s="34">
        <f>AI16-AI22</f>
        <v/>
      </c>
      <c r="AJ23" s="34">
        <f>AJ16-AJ22</f>
        <v/>
      </c>
      <c r="AK23" s="34">
        <f>AK16-AK22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4" customWidth="1" min="5" max="5"/>
  </cols>
  <sheetData>
    <row r="1">
      <c r="A1" s="7" t="inlineStr">
        <is>
          <t>narve.ai — Annual Summary &amp; SaaS KPIs</t>
        </is>
      </c>
    </row>
    <row r="2">
      <c r="A2" s="8" t="inlineStr">
        <is>
          <t>FY1 = M1–12, FY2 = M13–24, FY3 = M25–36.</t>
        </is>
      </c>
    </row>
    <row r="4">
      <c r="A4" s="25" t="inlineStr"/>
      <c r="B4" s="25" t="inlineStr">
        <is>
          <t>FY1</t>
        </is>
      </c>
      <c r="C4" s="25" t="inlineStr">
        <is>
          <t>FY2</t>
        </is>
      </c>
      <c r="D4" s="25" t="inlineStr">
        <is>
          <t>FY3</t>
        </is>
      </c>
    </row>
    <row r="5">
      <c r="A5" s="12" t="inlineStr">
        <is>
          <t>Revenue (recognized)</t>
        </is>
      </c>
      <c r="B5" s="17">
        <f>SUM('Income Statement'!B5:M5)</f>
        <v/>
      </c>
      <c r="C5" s="17">
        <f>SUM('Income Statement'!N5:Y5)</f>
        <v/>
      </c>
      <c r="D5" s="17">
        <f>SUM('Income Statement'!Z5:AK5)</f>
        <v/>
      </c>
    </row>
    <row r="6">
      <c r="A6" t="inlineStr">
        <is>
          <t>Billings</t>
        </is>
      </c>
      <c r="B6" s="27">
        <f>SUM('Rev Build'!B27:M27)</f>
        <v/>
      </c>
      <c r="C6" s="27">
        <f>SUM('Rev Build'!N27:Y27)</f>
        <v/>
      </c>
      <c r="D6" s="27">
        <f>SUM('Rev Build'!Z27:AK27)</f>
        <v/>
      </c>
    </row>
    <row r="7">
      <c r="A7" t="inlineStr">
        <is>
          <t>Revenue growth %</t>
        </is>
      </c>
      <c r="B7" t="inlineStr">
        <is>
          <t>n/a</t>
        </is>
      </c>
      <c r="C7" s="32">
        <f>IF(B5=0,0,C5/B5-1)</f>
        <v/>
      </c>
      <c r="D7" s="32">
        <f>IF(C5=0,0,D5/C5-1)</f>
        <v/>
      </c>
    </row>
    <row r="8">
      <c r="A8" t="inlineStr">
        <is>
          <t>Gross profit</t>
        </is>
      </c>
      <c r="B8" s="27">
        <f>SUM('Income Statement'!B7:M7)</f>
        <v/>
      </c>
      <c r="C8" s="27">
        <f>SUM('Income Statement'!N7:Y7)</f>
        <v/>
      </c>
      <c r="D8" s="27">
        <f>SUM('Income Statement'!Z7:AK7)</f>
        <v/>
      </c>
    </row>
    <row r="9">
      <c r="A9" s="12" t="inlineStr">
        <is>
          <t>EBITDA</t>
        </is>
      </c>
      <c r="B9" s="17">
        <f>SUM('Income Statement'!B14:M14)</f>
        <v/>
      </c>
      <c r="C9" s="17">
        <f>SUM('Income Statement'!N14:Y14)</f>
        <v/>
      </c>
      <c r="D9" s="17">
        <f>SUM('Income Statement'!Z14:AK14)</f>
        <v/>
      </c>
    </row>
    <row r="10">
      <c r="A10" t="inlineStr">
        <is>
          <t>EBITDA margin %</t>
        </is>
      </c>
      <c r="B10" s="32">
        <f>IF(B5=0,0,B9/B5)</f>
        <v/>
      </c>
      <c r="C10" s="32">
        <f>IF(C5=0,0,C9/C5)</f>
        <v/>
      </c>
      <c r="D10" s="32">
        <f>IF(D5=0,0,D9/D5)</f>
        <v/>
      </c>
    </row>
    <row r="11">
      <c r="A11" t="inlineStr">
        <is>
          <t>Net income</t>
        </is>
      </c>
      <c r="B11" s="27">
        <f>SUM('Income Statement'!B19:M19)</f>
        <v/>
      </c>
      <c r="C11" s="27">
        <f>SUM('Income Statement'!N19:Y19)</f>
        <v/>
      </c>
      <c r="D11" s="27">
        <f>SUM('Income Statement'!Z19:AK19)</f>
        <v/>
      </c>
    </row>
    <row r="12">
      <c r="A12" s="12" t="inlineStr">
        <is>
          <t>Ending ARR</t>
        </is>
      </c>
      <c r="B12" s="17">
        <f>'Rev Build'!M30</f>
        <v/>
      </c>
      <c r="C12" s="17">
        <f>'Rev Build'!Y30</f>
        <v/>
      </c>
      <c r="D12" s="17">
        <f>'Rev Build'!AK30</f>
        <v/>
      </c>
    </row>
    <row r="13">
      <c r="A13" t="inlineStr">
        <is>
          <t>Ending subscribers</t>
        </is>
      </c>
      <c r="B13" s="27">
        <f>'Rev Build'!M23</f>
        <v/>
      </c>
      <c r="C13" s="27">
        <f>'Rev Build'!Y23</f>
        <v/>
      </c>
      <c r="D13" s="27">
        <f>'Rev Build'!AK23</f>
        <v/>
      </c>
    </row>
    <row r="14">
      <c r="A14" s="12" t="inlineStr">
        <is>
          <t>Ending cash</t>
        </is>
      </c>
      <c r="B14" s="17">
        <f>'Cash Flow &amp; BS'!M13</f>
        <v/>
      </c>
      <c r="C14" s="17">
        <f>'Cash Flow &amp; BS'!Y13</f>
        <v/>
      </c>
      <c r="D14" s="17">
        <f>'Cash Flow &amp; BS'!AK13</f>
        <v/>
      </c>
    </row>
    <row r="15">
      <c r="A15" t="inlineStr">
        <is>
          <t>Marketing spend</t>
        </is>
      </c>
      <c r="B15" s="27">
        <f>SUM('Opex'!B21:M21)</f>
        <v/>
      </c>
      <c r="C15" s="27">
        <f>SUM('Opex'!N21:Y21)</f>
        <v/>
      </c>
      <c r="D15" s="27">
        <f>SUM('Opex'!Z21:AK21)</f>
        <v/>
      </c>
    </row>
    <row r="17">
      <c r="A17" s="9" t="inlineStr">
        <is>
          <t>SaaS KPIs (M24 point-in-time unless noted)</t>
        </is>
      </c>
      <c r="B17" s="10" t="n"/>
      <c r="C17" s="10" t="n"/>
      <c r="D17" s="10" t="n"/>
      <c r="E17" s="10" t="n"/>
    </row>
    <row r="18">
      <c r="A18" t="inlineStr">
        <is>
          <t>Blended ARPU (recognized), $/mo</t>
        </is>
      </c>
      <c r="B18" s="21">
        <f>'Rev Build'!Y31</f>
        <v/>
      </c>
    </row>
    <row r="19">
      <c r="A19" t="inlineStr">
        <is>
          <t>Gross margin %</t>
        </is>
      </c>
      <c r="B19" s="15">
        <f>'Income Statement'!Y8</f>
        <v/>
      </c>
      <c r="E19" s="4" t="inlineStr">
        <is>
          <t>includes inference GPU + support in COGS</t>
        </is>
      </c>
    </row>
    <row r="20">
      <c r="A20" t="inlineStr">
        <is>
          <t>Paid CAC (driver)</t>
        </is>
      </c>
      <c r="B20" s="17">
        <f>Drivers!$B$17</f>
        <v/>
      </c>
    </row>
    <row r="21">
      <c r="A21" t="inlineStr">
        <is>
          <t>Blended CAC = marketing / all adds</t>
        </is>
      </c>
      <c r="B21" s="21">
        <f>Opex!Y21/'Rev Build'!Y10</f>
        <v/>
      </c>
      <c r="E21" s="4" t="inlineStr">
        <is>
          <t>organic pulls blended CAC below paid CAC</t>
        </is>
      </c>
    </row>
    <row r="22">
      <c r="A22" t="inlineStr">
        <is>
          <t>LTV = ARPU × GM% / monthly churn</t>
        </is>
      </c>
      <c r="B22" s="21">
        <f>'Rev Build'!Y31*'Income Statement'!Y8/Drivers!$B$19</f>
        <v/>
      </c>
    </row>
    <row r="23">
      <c r="A23" t="inlineStr">
        <is>
          <t>LTV / paid CAC</t>
        </is>
      </c>
      <c r="B23" s="35">
        <f>B22/B20</f>
        <v/>
      </c>
      <c r="E23" s="4" t="inlineStr">
        <is>
          <t>healthy 3–5x</t>
        </is>
      </c>
    </row>
    <row r="24">
      <c r="A24" t="inlineStr">
        <is>
          <t>CAC payback, months (paid)</t>
        </is>
      </c>
      <c r="B24" s="36">
        <f>B20/('Rev Build'!Y31*'Income Statement'!Y8)</f>
        <v/>
      </c>
      <c r="E24" s="4" t="inlineStr">
        <is>
          <t>healthy &lt; 12</t>
        </is>
      </c>
    </row>
    <row r="25">
      <c r="A25" t="inlineStr">
        <is>
          <t>Burn multiple (FY2) = net burn / net new ARR</t>
        </is>
      </c>
      <c r="B25" s="35">
        <f>IF((C12-B12)=0,0,MAX(0,-C11)/(C12-B12))</f>
        <v/>
      </c>
      <c r="E25" s="4" t="inlineStr">
        <is>
          <t>FY1 distorted by one-times; &lt;1.5x good at this stage</t>
        </is>
      </c>
    </row>
    <row r="26">
      <c r="A26" t="inlineStr">
        <is>
          <t>Peak funding need (excl. SAFE)</t>
        </is>
      </c>
      <c r="B26" s="17">
        <f>MAX(0,Drivers!$B$68-MIN('Cash Flow &amp; BS'!B13:AK13))</f>
        <v/>
      </c>
      <c r="E26" s="4" t="inlineStr">
        <is>
          <t>min ending cash restated without SAFE proceeds</t>
        </is>
      </c>
    </row>
    <row r="27">
      <c r="A27" t="inlineStr">
        <is>
          <t>Recommended raise = peak need × (1 + buffer)</t>
        </is>
      </c>
      <c r="B27" s="17">
        <f>B26*(1+Drivers!$B$71)</f>
        <v/>
      </c>
    </row>
    <row r="28">
      <c r="A28" t="inlineStr">
        <is>
          <t>Minimum cash (with current SAFE)</t>
        </is>
      </c>
      <c r="B28" s="17">
        <f>MIN('Cash Flow &amp; BS'!B13:AK13)</f>
        <v/>
      </c>
      <c r="E28" s="4" t="inlineStr">
        <is>
          <t>must stay ≥ 0 — see Checks</t>
        </is>
      </c>
    </row>
    <row r="29">
      <c r="A29" t="inlineStr">
        <is>
          <t>AWS share of total M24 costs</t>
        </is>
      </c>
      <c r="B29" s="15">
        <f>(Opex!Y7+Opex!Y8+Opex!Y19-Opex!Y18)/Opex!Y32</f>
        <v/>
      </c>
      <c r="E29" s="4" t="inlineStr">
        <is>
          <t>serving + inference + GPU training (excl. contractor)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7" t="inlineStr">
        <is>
          <t>narve.ai — Dashboard</t>
        </is>
      </c>
    </row>
    <row r="2">
      <c r="A2" s="8" t="inlineStr">
        <is>
          <t>Charts follow the live model — flip the Drivers switches and they update.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7" t="inlineStr">
        <is>
          <t>narve.ai — Sensitivity Analysis</t>
        </is>
      </c>
    </row>
    <row r="2">
      <c r="A2" s="8" t="inlineStr">
        <is>
          <t>Static grids from identical model logic (Base funnel, launch M3, salary $0). Rebuild to refresh; Drivers switches cover live what-ifs.</t>
        </is>
      </c>
    </row>
    <row r="4">
      <c r="A4" s="9" t="inlineStr">
        <is>
          <t>PEAK FUNDING NEED, $ (before buffer) — Fine-tune plan</t>
        </is>
      </c>
      <c r="B4" s="10" t="n"/>
      <c r="C4" s="10" t="n"/>
      <c r="D4" s="10" t="n"/>
      <c r="E4" s="10" t="n"/>
      <c r="F4" s="10" t="n"/>
      <c r="G4" s="10" t="n"/>
    </row>
    <row r="5">
      <c r="A5" s="12" t="inlineStr">
        <is>
          <t>churn ↓ / paid CAC →</t>
        </is>
      </c>
      <c r="B5" s="17" t="n">
        <v>30</v>
      </c>
      <c r="C5" s="17" t="n">
        <v>45</v>
      </c>
      <c r="D5" s="17" t="n">
        <v>60</v>
      </c>
      <c r="E5" s="17" t="n">
        <v>90</v>
      </c>
      <c r="F5" s="17" t="n">
        <v>120</v>
      </c>
    </row>
    <row r="6">
      <c r="A6" s="15" t="n">
        <v>0.045</v>
      </c>
      <c r="B6" s="27" t="n">
        <v>33907</v>
      </c>
      <c r="C6" s="27" t="n">
        <v>40801</v>
      </c>
      <c r="D6" s="27" t="n">
        <v>47044</v>
      </c>
      <c r="E6" s="27" t="n">
        <v>58808</v>
      </c>
      <c r="F6" s="27" t="n">
        <v>68368</v>
      </c>
    </row>
    <row r="7">
      <c r="A7" s="15" t="n">
        <v>0.06</v>
      </c>
      <c r="B7" s="27" t="n">
        <v>34185</v>
      </c>
      <c r="C7" s="27" t="n">
        <v>41596</v>
      </c>
      <c r="D7" s="29" t="n">
        <v>48220</v>
      </c>
      <c r="E7" s="27" t="n">
        <v>61388</v>
      </c>
      <c r="F7" s="27" t="n">
        <v>71553</v>
      </c>
    </row>
    <row r="8">
      <c r="A8" s="15" t="n">
        <v>0.075</v>
      </c>
      <c r="B8" s="27" t="n">
        <v>34477</v>
      </c>
      <c r="C8" s="27" t="n">
        <v>42460</v>
      </c>
      <c r="D8" s="27" t="n">
        <v>49558</v>
      </c>
      <c r="E8" s="27" t="n">
        <v>64011</v>
      </c>
      <c r="F8" s="27" t="n">
        <v>74799</v>
      </c>
    </row>
    <row r="9">
      <c r="A9" s="15" t="n">
        <v>0.09</v>
      </c>
      <c r="B9" s="27" t="n">
        <v>34853</v>
      </c>
      <c r="C9" s="27" t="n">
        <v>43357</v>
      </c>
      <c r="D9" s="27" t="n">
        <v>51078</v>
      </c>
      <c r="E9" s="27" t="n">
        <v>66678</v>
      </c>
      <c r="F9" s="27" t="n">
        <v>78046</v>
      </c>
    </row>
    <row r="11">
      <c r="A11" s="9" t="inlineStr">
        <is>
          <t>MONTH-24 MRR, $ — Fine-tune plan</t>
        </is>
      </c>
      <c r="B11" s="10" t="n"/>
      <c r="C11" s="10" t="n"/>
      <c r="D11" s="10" t="n"/>
      <c r="E11" s="10" t="n"/>
      <c r="F11" s="10" t="n"/>
      <c r="G11" s="10" t="n"/>
    </row>
    <row r="12">
      <c r="A12" s="12" t="inlineStr">
        <is>
          <t>churn ↓ / paid CAC →</t>
        </is>
      </c>
      <c r="B12" s="17" t="n">
        <v>30</v>
      </c>
      <c r="C12" s="17" t="n">
        <v>45</v>
      </c>
      <c r="D12" s="17" t="n">
        <v>60</v>
      </c>
      <c r="E12" s="17" t="n">
        <v>90</v>
      </c>
      <c r="F12" s="17" t="n">
        <v>120</v>
      </c>
    </row>
    <row r="13">
      <c r="A13" s="15" t="n">
        <v>0.045</v>
      </c>
      <c r="B13" s="27" t="n">
        <v>20013</v>
      </c>
      <c r="C13" s="27" t="n">
        <v>14698</v>
      </c>
      <c r="D13" s="27" t="n">
        <v>12041</v>
      </c>
      <c r="E13" s="27" t="n">
        <v>9383</v>
      </c>
      <c r="F13" s="27" t="n">
        <v>8054</v>
      </c>
    </row>
    <row r="14">
      <c r="A14" s="15" t="n">
        <v>0.06</v>
      </c>
      <c r="B14" s="27" t="n">
        <v>18643</v>
      </c>
      <c r="C14" s="27" t="n">
        <v>13691</v>
      </c>
      <c r="D14" s="29" t="n">
        <v>11215</v>
      </c>
      <c r="E14" s="27" t="n">
        <v>8739</v>
      </c>
      <c r="F14" s="27" t="n">
        <v>7501</v>
      </c>
    </row>
    <row r="15">
      <c r="A15" s="15" t="n">
        <v>0.075</v>
      </c>
      <c r="B15" s="27" t="n">
        <v>17458</v>
      </c>
      <c r="C15" s="27" t="n">
        <v>12821</v>
      </c>
      <c r="D15" s="27" t="n">
        <v>10502</v>
      </c>
      <c r="E15" s="27" t="n">
        <v>8184</v>
      </c>
      <c r="F15" s="27" t="n">
        <v>7025</v>
      </c>
    </row>
    <row r="16">
      <c r="A16" s="15" t="n">
        <v>0.09</v>
      </c>
      <c r="B16" s="27" t="n">
        <v>16429</v>
      </c>
      <c r="C16" s="27" t="n">
        <v>12066</v>
      </c>
      <c r="D16" s="27" t="n">
        <v>9884</v>
      </c>
      <c r="E16" s="27" t="n">
        <v>7702</v>
      </c>
      <c r="F16" s="27" t="n">
        <v>6612</v>
      </c>
    </row>
    <row r="18">
      <c r="A18" s="9" t="inlineStr">
        <is>
          <t>PEAK FUNDING NEED, $ — Scale plan (H100)</t>
        </is>
      </c>
      <c r="B18" s="10" t="n"/>
      <c r="C18" s="10" t="n"/>
      <c r="D18" s="10" t="n"/>
      <c r="E18" s="10" t="n"/>
      <c r="F18" s="10" t="n"/>
      <c r="G18" s="10" t="n"/>
    </row>
    <row r="19">
      <c r="A19" s="12" t="inlineStr">
        <is>
          <t>churn ↓ / paid CAC →</t>
        </is>
      </c>
      <c r="B19" s="17" t="n">
        <v>30</v>
      </c>
      <c r="C19" s="17" t="n">
        <v>45</v>
      </c>
      <c r="D19" s="17" t="n">
        <v>60</v>
      </c>
      <c r="E19" s="17" t="n">
        <v>90</v>
      </c>
      <c r="F19" s="17" t="n">
        <v>120</v>
      </c>
    </row>
    <row r="20">
      <c r="A20" s="15" t="n">
        <v>0.045</v>
      </c>
      <c r="B20" s="27" t="n">
        <v>184781</v>
      </c>
      <c r="C20" s="27" t="n">
        <v>233294</v>
      </c>
      <c r="D20" s="27" t="n">
        <v>269795</v>
      </c>
      <c r="E20" s="27" t="n">
        <v>319235</v>
      </c>
      <c r="F20" s="27" t="n">
        <v>349867</v>
      </c>
    </row>
    <row r="21">
      <c r="A21" s="15" t="n">
        <v>0.06</v>
      </c>
      <c r="B21" s="27" t="n">
        <v>190751</v>
      </c>
      <c r="C21" s="27" t="n">
        <v>242774</v>
      </c>
      <c r="D21" s="29" t="n">
        <v>281874</v>
      </c>
      <c r="E21" s="27" t="n">
        <v>333877</v>
      </c>
      <c r="F21" s="27" t="n">
        <v>364884</v>
      </c>
    </row>
    <row r="22">
      <c r="A22" s="15" t="n">
        <v>0.075</v>
      </c>
      <c r="B22" s="27" t="n">
        <v>197018</v>
      </c>
      <c r="C22" s="27" t="n">
        <v>252656</v>
      </c>
      <c r="D22" s="27" t="n">
        <v>294092</v>
      </c>
      <c r="E22" s="27" t="n">
        <v>348131</v>
      </c>
      <c r="F22" s="27" t="n">
        <v>377631</v>
      </c>
    </row>
    <row r="23">
      <c r="A23" s="15" t="n">
        <v>0.09</v>
      </c>
      <c r="B23" s="27" t="n">
        <v>203598</v>
      </c>
      <c r="C23" s="27" t="n">
        <v>262926</v>
      </c>
      <c r="D23" s="27" t="n">
        <v>306595</v>
      </c>
      <c r="E23" s="27" t="n">
        <v>360692</v>
      </c>
      <c r="F23" s="27" t="n">
        <v>388501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narve.ai — Cap Table &amp; Valuation</t>
        </is>
      </c>
    </row>
    <row r="2">
      <c r="A2" s="8" t="inlineStr">
        <is>
          <t>Post-money SAFE (YC standard): SAFE % = raise / post-money cap.</t>
        </is>
      </c>
    </row>
    <row r="4">
      <c r="A4" s="9" t="inlineStr">
        <is>
          <t>SAFE CONVERSION (live)</t>
        </is>
      </c>
      <c r="B4" s="10" t="n"/>
      <c r="C4" s="10" t="n"/>
      <c r="D4" s="10" t="n"/>
      <c r="E4" s="10" t="n"/>
      <c r="F4" s="10" t="n"/>
      <c r="G4" s="10" t="n"/>
    </row>
    <row r="5">
      <c r="A5" t="inlineStr">
        <is>
          <t>SAFE amount</t>
        </is>
      </c>
      <c r="B5" s="17">
        <f>Drivers!$B$68</f>
        <v/>
      </c>
    </row>
    <row r="6">
      <c r="A6" t="inlineStr">
        <is>
          <t>Post-money valuation cap</t>
        </is>
      </c>
      <c r="B6" s="17">
        <f>Drivers!$B$69</f>
        <v/>
      </c>
    </row>
    <row r="7">
      <c r="A7" t="inlineStr">
        <is>
          <t>SAFE ownership at conversion</t>
        </is>
      </c>
      <c r="B7" s="15">
        <f>B5/B6</f>
        <v/>
      </c>
    </row>
    <row r="8">
      <c r="A8" t="inlineStr">
        <is>
          <t>Founder shares</t>
        </is>
      </c>
      <c r="B8" s="14">
        <f>Drivers!$B$70</f>
        <v/>
      </c>
    </row>
    <row r="9">
      <c r="A9" t="inlineStr">
        <is>
          <t>SAFE shares issued at conversion</t>
        </is>
      </c>
      <c r="B9" s="14">
        <f>B8*B7/(1-B7)</f>
        <v/>
      </c>
    </row>
    <row r="10">
      <c r="A10" t="inlineStr">
        <is>
          <t>Founder ownership post-conversion</t>
        </is>
      </c>
      <c r="B10" s="15">
        <f>B8/(B8+B9)</f>
        <v/>
      </c>
      <c r="E10" s="4" t="inlineStr">
        <is>
          <t>excl. option pool created at the priced round</t>
        </is>
      </c>
    </row>
    <row r="12">
      <c r="A12" s="9" t="inlineStr">
        <is>
          <t>FOUNDER OWNERSHIP GRID — raise ($) × post-money cap ($)</t>
        </is>
      </c>
      <c r="B12" s="10" t="n"/>
      <c r="C12" s="10" t="n"/>
      <c r="D12" s="10" t="n"/>
      <c r="E12" s="10" t="n"/>
      <c r="F12" s="10" t="n"/>
      <c r="G12" s="10" t="n"/>
    </row>
    <row r="13">
      <c r="A13" s="12" t="inlineStr">
        <is>
          <t>raise ↓ / cap →</t>
        </is>
      </c>
      <c r="B13" s="17" t="n">
        <v>1000000</v>
      </c>
      <c r="C13" s="17" t="n">
        <v>2000000</v>
      </c>
      <c r="D13" s="17" t="n">
        <v>3000000</v>
      </c>
      <c r="E13" s="17" t="n">
        <v>5000000</v>
      </c>
    </row>
    <row r="14">
      <c r="A14" s="17" t="n">
        <v>75000</v>
      </c>
      <c r="B14" s="32">
        <f>1-75000/1000000</f>
        <v/>
      </c>
      <c r="C14" s="32">
        <f>1-75000/2000000</f>
        <v/>
      </c>
      <c r="D14" s="32">
        <f>1-75000/3000000</f>
        <v/>
      </c>
      <c r="E14" s="32">
        <f>1-75000/5000000</f>
        <v/>
      </c>
    </row>
    <row r="15">
      <c r="A15" s="17" t="n">
        <v>125000</v>
      </c>
      <c r="B15" s="32">
        <f>1-125000/1000000</f>
        <v/>
      </c>
      <c r="C15" s="32">
        <f>1-125000/2000000</f>
        <v/>
      </c>
      <c r="D15" s="32">
        <f>1-125000/3000000</f>
        <v/>
      </c>
      <c r="E15" s="32">
        <f>1-125000/5000000</f>
        <v/>
      </c>
    </row>
    <row r="16">
      <c r="A16" s="17" t="n">
        <v>200000</v>
      </c>
      <c r="B16" s="32">
        <f>1-200000/1000000</f>
        <v/>
      </c>
      <c r="C16" s="32">
        <f>1-200000/2000000</f>
        <v/>
      </c>
      <c r="D16" s="32">
        <f>1-200000/3000000</f>
        <v/>
      </c>
      <c r="E16" s="32">
        <f>1-200000/5000000</f>
        <v/>
      </c>
    </row>
    <row r="17">
      <c r="A17" s="17" t="n">
        <v>300000</v>
      </c>
      <c r="B17" s="32">
        <f>1-300000/1000000</f>
        <v/>
      </c>
      <c r="C17" s="32">
        <f>1-300000/2000000</f>
        <v/>
      </c>
      <c r="D17" s="32">
        <f>1-300000/3000000</f>
        <v/>
      </c>
      <c r="E17" s="32">
        <f>1-300000/5000000</f>
        <v/>
      </c>
    </row>
    <row r="19">
      <c r="A19" s="9" t="inlineStr">
        <is>
          <t>IMPLIED VALUATION — forward ARR × revenue multiple (live)</t>
        </is>
      </c>
      <c r="B19" s="10" t="n"/>
      <c r="C19" s="10" t="n"/>
      <c r="D19" s="10" t="n"/>
      <c r="E19" s="10" t="n"/>
      <c r="F19" s="10" t="n"/>
      <c r="G19" s="10" t="n"/>
    </row>
    <row r="20">
      <c r="A20" s="12" t="inlineStr">
        <is>
          <t>ARR point ↓ / multiple →</t>
        </is>
      </c>
      <c r="B20" s="35" t="n">
        <v>3</v>
      </c>
      <c r="C20" s="35" t="n">
        <v>5</v>
      </c>
      <c r="D20" s="35" t="n">
        <v>7</v>
      </c>
      <c r="E20" s="35" t="n">
        <v>10</v>
      </c>
    </row>
    <row r="21">
      <c r="A21" s="12" t="inlineStr">
        <is>
          <t>ARR at M12</t>
        </is>
      </c>
      <c r="B21" s="27">
        <f>'Rev Build'!M30*3</f>
        <v/>
      </c>
      <c r="C21" s="27">
        <f>'Rev Build'!M30*5</f>
        <v/>
      </c>
      <c r="D21" s="27">
        <f>'Rev Build'!M30*7</f>
        <v/>
      </c>
      <c r="E21" s="27">
        <f>'Rev Build'!M30*10</f>
        <v/>
      </c>
    </row>
    <row r="22">
      <c r="A22" s="12" t="inlineStr">
        <is>
          <t>ARR at M24</t>
        </is>
      </c>
      <c r="B22" s="27">
        <f>'Rev Build'!Y30*3</f>
        <v/>
      </c>
      <c r="C22" s="27">
        <f>'Rev Build'!Y30*5</f>
        <v/>
      </c>
      <c r="D22" s="27">
        <f>'Rev Build'!Y30*7</f>
        <v/>
      </c>
      <c r="E22" s="27">
        <f>'Rev Build'!Y30*10</f>
        <v/>
      </c>
    </row>
    <row r="23">
      <c r="A23" s="12" t="inlineStr">
        <is>
          <t>ARR at M36</t>
        </is>
      </c>
      <c r="B23" s="27">
        <f>'Rev Build'!AK30*3</f>
        <v/>
      </c>
      <c r="C23" s="27">
        <f>'Rev Build'!AK30*5</f>
        <v/>
      </c>
      <c r="D23" s="27">
        <f>'Rev Build'!AK30*7</f>
        <v/>
      </c>
      <c r="E23" s="27">
        <f>'Rev Build'!AK30*10</f>
        <v/>
      </c>
    </row>
    <row r="24">
      <c r="A24" s="4" t="inlineStr">
        <is>
          <t>Context: small prosumer-data/signals SaaS typically 3–7× ARR; premium growth 8–12×.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62" customWidth="1" min="3" max="3"/>
  </cols>
  <sheetData>
    <row r="1">
      <c r="A1" s="7" t="inlineStr">
        <is>
          <t>narve.ai — Model Checks</t>
        </is>
      </c>
    </row>
    <row r="2">
      <c r="A2" s="8" t="inlineStr">
        <is>
          <t>All rows must read OK / 0.</t>
        </is>
      </c>
    </row>
    <row r="4">
      <c r="A4" t="inlineStr">
        <is>
          <t>Balance sheet tie-out — max |assets − (L+E)| across M1–M36</t>
        </is>
      </c>
      <c r="B4" s="21">
        <f>MAX(MAX('Cash Flow &amp; BS'!B23:AK23),-MIN('Cash Flow &amp; BS'!B23:AK23))</f>
        <v/>
      </c>
      <c r="C4" s="4" t="inlineStr">
        <is>
          <t>must be 0</t>
        </is>
      </c>
    </row>
    <row r="5">
      <c r="A5" t="inlineStr">
        <is>
          <t>Product mix sums to 100%</t>
        </is>
      </c>
      <c r="B5" s="37">
        <f>Drivers!$B$26+Drivers!$B$27+Drivers!$B$28</f>
        <v/>
      </c>
      <c r="C5" s="4" t="inlineStr">
        <is>
          <t>must be 100%</t>
        </is>
      </c>
    </row>
    <row r="6">
      <c r="A6" t="inlineStr">
        <is>
          <t>Deferred revenue never negative (min balance)</t>
        </is>
      </c>
      <c r="B6" s="17">
        <f>MIN('Rev Build'!B29:AK29)</f>
        <v/>
      </c>
      <c r="C6" s="4" t="inlineStr">
        <is>
          <t>must be ≥ 0</t>
        </is>
      </c>
    </row>
    <row r="7">
      <c r="A7" t="inlineStr">
        <is>
          <t>Minimum ending cash across M1–M36</t>
        </is>
      </c>
      <c r="B7" s="17">
        <f>MIN('Cash Flow &amp; BS'!B13:AK13)</f>
        <v/>
      </c>
      <c r="C7" s="4" t="inlineStr">
        <is>
          <t>if negative, increase 'SAFE proceeds raised' on Drivers</t>
        </is>
      </c>
    </row>
    <row r="8">
      <c r="A8" t="inlineStr">
        <is>
          <t>Cash sufficiency flag</t>
        </is>
      </c>
      <c r="B8" s="12">
        <f>IF(MIN('Cash Flow &amp; BS'!B13:AK13)&lt;0,"FAIL — raise more","OK")</f>
        <v/>
      </c>
      <c r="C8" s="4" t="inlineStr"/>
    </row>
    <row r="9">
      <c r="A9" t="inlineStr">
        <is>
          <t>Gross margin M24 (SaaS story wants &gt; 70%)</t>
        </is>
      </c>
      <c r="B9" s="15">
        <f>'Income Statement'!Y8</f>
        <v/>
      </c>
      <c r="C9" s="4" t="inlineStr"/>
    </row>
    <row r="10">
      <c r="A10" t="inlineStr">
        <is>
          <t>EBITDA-positive month count (of 36)</t>
        </is>
      </c>
      <c r="B10" s="14">
        <f>COUNTIF('Income Statement'!B14:AK14,"&gt;0")</f>
        <v/>
      </c>
      <c r="C10" s="4" t="inlineStr"/>
    </row>
    <row r="11">
      <c r="A11" t="inlineStr">
        <is>
          <t>LTV/CAC within credible range (1–10x)?</t>
        </is>
      </c>
      <c r="B11" s="12">
        <f>IF(AND('Annual &amp; KPIs'!B23&gt;=1,'Annual &amp; KPIs'!B23&lt;=10),"OK","REVIEW")</f>
        <v/>
      </c>
      <c r="C11" s="4" t="inlineStr">
        <is>
          <t>unit economics outside this band usually means an input is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2026-07-02T15:00:28Z</dcterms:created>
  <dcterms:modified xsi:type="dcterms:W3CDTF">2026-07-02T15:00:28Z</dcterms:modified>
</cp:coreProperties>
</file>